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ug wilson\Documents\"/>
    </mc:Choice>
  </mc:AlternateContent>
  <bookViews>
    <workbookView xWindow="0" yWindow="0" windowWidth="28800" windowHeight="12216"/>
  </bookViews>
  <sheets>
    <sheet name="Check In" sheetId="1" r:id="rId1"/>
    <sheet name="Sheet2" sheetId="62" r:id="rId2"/>
  </sheets>
  <functionGroups builtInGroupCount="18"/>
  <definedNames>
    <definedName name="Dcol">Sheet2!$A1048570:$A2696</definedName>
    <definedName name="DColumn">Sheet2!$A$1:$A$2705</definedName>
    <definedName name="District">'Check In'!$H$6</definedName>
    <definedName name="votes">Sheet2!$A$1:$D$2705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 a="1"/>
  <c r="D24" i="1" s="1"/>
  <c r="E24" i="1" s="1"/>
  <c r="D20" i="1" a="1"/>
  <c r="D20" i="1" s="1"/>
  <c r="E20" i="1" s="1"/>
  <c r="F8" i="1" l="1"/>
  <c r="B39" i="1" l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28" i="1" a="1"/>
  <c r="B128" i="1" s="1"/>
  <c r="B129" i="1" a="1"/>
  <c r="B129" i="1" s="1"/>
  <c r="B130" i="1" a="1"/>
  <c r="B130" i="1" s="1"/>
  <c r="B131" i="1" a="1"/>
  <c r="B131" i="1" s="1"/>
  <c r="B132" i="1" a="1"/>
  <c r="B132" i="1" s="1"/>
  <c r="B133" i="1" a="1"/>
  <c r="B133" i="1" s="1"/>
  <c r="B134" i="1" a="1"/>
  <c r="B134" i="1" s="1"/>
  <c r="B135" i="1" a="1"/>
  <c r="B135" i="1" s="1"/>
  <c r="B136" i="1" a="1"/>
  <c r="B136" i="1" s="1"/>
  <c r="B137" i="1" a="1"/>
  <c r="B137" i="1" s="1"/>
  <c r="B138" i="1" a="1"/>
  <c r="B138" i="1" s="1"/>
  <c r="B139" i="1" a="1"/>
  <c r="B139" i="1" s="1"/>
  <c r="B140" i="1" a="1"/>
  <c r="B140" i="1" s="1"/>
  <c r="B141" i="1" a="1"/>
  <c r="B141" i="1" s="1"/>
  <c r="B142" i="1" a="1"/>
  <c r="B142" i="1" s="1"/>
  <c r="B143" i="1" a="1"/>
  <c r="B143" i="1" s="1"/>
  <c r="B144" i="1" a="1"/>
  <c r="B144" i="1" s="1"/>
  <c r="B145" i="1" a="1"/>
  <c r="B145" i="1" s="1"/>
  <c r="B146" i="1" a="1"/>
  <c r="B146" i="1" s="1"/>
  <c r="B147" i="1" a="1"/>
  <c r="B147" i="1" s="1"/>
  <c r="B148" i="1" a="1"/>
  <c r="B148" i="1" s="1"/>
  <c r="B149" i="1" a="1"/>
  <c r="B149" i="1" s="1"/>
  <c r="B150" i="1" a="1"/>
  <c r="B150" i="1" s="1"/>
  <c r="B151" i="1" a="1"/>
  <c r="B151" i="1" s="1"/>
  <c r="B152" i="1" a="1"/>
  <c r="B152" i="1" s="1"/>
  <c r="B153" i="1" a="1"/>
  <c r="B153" i="1" s="1"/>
  <c r="B154" i="1" a="1"/>
  <c r="B154" i="1" s="1"/>
  <c r="B155" i="1" a="1"/>
  <c r="B155" i="1" s="1"/>
  <c r="B156" i="1" a="1"/>
  <c r="B156" i="1" s="1"/>
  <c r="B157" i="1" a="1"/>
  <c r="B157" i="1" s="1"/>
  <c r="B158" i="1" a="1"/>
  <c r="B158" i="1" s="1"/>
  <c r="B159" i="1" a="1"/>
  <c r="B159" i="1" s="1"/>
  <c r="B160" i="1" a="1"/>
  <c r="B160" i="1" s="1"/>
  <c r="B161" i="1" a="1"/>
  <c r="B161" i="1" s="1"/>
  <c r="B162" i="1" a="1"/>
  <c r="B162" i="1" s="1"/>
  <c r="B163" i="1" a="1"/>
  <c r="B163" i="1" s="1"/>
  <c r="B164" i="1" a="1"/>
  <c r="B164" i="1" s="1"/>
  <c r="B165" i="1" a="1"/>
  <c r="B165" i="1" s="1"/>
  <c r="B166" i="1" a="1"/>
  <c r="B166" i="1" s="1"/>
  <c r="B167" i="1" a="1"/>
  <c r="B167" i="1" s="1"/>
  <c r="B168" i="1" a="1"/>
  <c r="B168" i="1" s="1"/>
  <c r="B169" i="1" a="1"/>
  <c r="B169" i="1" s="1"/>
  <c r="B170" i="1" a="1"/>
  <c r="B170" i="1" s="1"/>
  <c r="B171" i="1" a="1"/>
  <c r="B171" i="1" s="1"/>
  <c r="B172" i="1" a="1"/>
  <c r="B172" i="1" s="1"/>
  <c r="B173" i="1" a="1"/>
  <c r="B173" i="1" s="1"/>
  <c r="B174" i="1" a="1"/>
  <c r="B174" i="1" s="1"/>
  <c r="B175" i="1" a="1"/>
  <c r="B175" i="1" s="1"/>
  <c r="B176" i="1" a="1"/>
  <c r="B176" i="1" s="1"/>
  <c r="B177" i="1" a="1"/>
  <c r="B177" i="1" s="1"/>
  <c r="B178" i="1" a="1"/>
  <c r="B178" i="1" s="1"/>
  <c r="B179" i="1" a="1"/>
  <c r="B179" i="1" s="1"/>
  <c r="B180" i="1" a="1"/>
  <c r="B180" i="1" s="1"/>
  <c r="B181" i="1" a="1"/>
  <c r="B181" i="1" s="1"/>
  <c r="B182" i="1" a="1"/>
  <c r="B182" i="1" s="1"/>
  <c r="B183" i="1" a="1"/>
  <c r="B183" i="1" s="1"/>
  <c r="B184" i="1" a="1"/>
  <c r="B184" i="1" s="1"/>
  <c r="B185" i="1" a="1"/>
  <c r="B185" i="1" s="1"/>
  <c r="B186" i="1" a="1"/>
  <c r="B186" i="1" s="1"/>
  <c r="B187" i="1" a="1"/>
  <c r="B187" i="1" s="1"/>
  <c r="B188" i="1" a="1"/>
  <c r="B188" i="1" s="1"/>
  <c r="B189" i="1" a="1"/>
  <c r="B189" i="1" s="1"/>
  <c r="B190" i="1" a="1"/>
  <c r="B190" i="1" s="1"/>
  <c r="B191" i="1" a="1"/>
  <c r="B191" i="1" s="1"/>
  <c r="B192" i="1" a="1"/>
  <c r="B192" i="1" s="1"/>
  <c r="B193" i="1" a="1"/>
  <c r="B193" i="1" s="1"/>
  <c r="B194" i="1" a="1"/>
  <c r="B194" i="1" s="1"/>
  <c r="B195" i="1" a="1"/>
  <c r="B195" i="1" s="1"/>
  <c r="B196" i="1" a="1"/>
  <c r="B196" i="1" s="1"/>
  <c r="B197" i="1" a="1"/>
  <c r="B197" i="1" s="1"/>
  <c r="B198" i="1" a="1"/>
  <c r="B198" i="1" s="1"/>
  <c r="B199" i="1" a="1"/>
  <c r="B199" i="1" s="1"/>
  <c r="B200" i="1" a="1"/>
  <c r="B200" i="1" s="1"/>
  <c r="B201" i="1" a="1"/>
  <c r="B201" i="1" s="1"/>
  <c r="B202" i="1" a="1"/>
  <c r="B202" i="1" s="1"/>
  <c r="B203" i="1" a="1"/>
  <c r="B203" i="1" s="1"/>
  <c r="B204" i="1" a="1"/>
  <c r="B204" i="1" s="1"/>
  <c r="B205" i="1" a="1"/>
  <c r="B205" i="1" s="1"/>
  <c r="B206" i="1" a="1"/>
  <c r="B20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16" i="1" a="1"/>
  <c r="B16" i="1" s="1"/>
  <c r="D17" i="1" l="1" a="1"/>
  <c r="D17" i="1" s="1"/>
  <c r="D18" i="1" a="1"/>
  <c r="D18" i="1" s="1"/>
  <c r="D19" i="1" a="1"/>
  <c r="D19" i="1" s="1"/>
  <c r="D21" i="1" a="1"/>
  <c r="D21" i="1" s="1"/>
  <c r="D22" i="1" a="1"/>
  <c r="D22" i="1" s="1"/>
  <c r="D23" i="1" a="1"/>
  <c r="D23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30" i="1" a="1"/>
  <c r="D30" i="1" s="1"/>
  <c r="D31" i="1" a="1"/>
  <c r="D31" i="1" s="1"/>
  <c r="D32" i="1" a="1"/>
  <c r="D32" i="1" s="1"/>
  <c r="D33" i="1" a="1"/>
  <c r="D33" i="1" s="1"/>
  <c r="D34" i="1" a="1"/>
  <c r="D34" i="1" s="1"/>
  <c r="D35" i="1" a="1"/>
  <c r="D35" i="1" s="1"/>
  <c r="D36" i="1" a="1"/>
  <c r="D36" i="1" s="1"/>
  <c r="D37" i="1" a="1"/>
  <c r="D37" i="1" s="1"/>
  <c r="D38" i="1" a="1"/>
  <c r="D38" i="1" s="1"/>
  <c r="D39" i="1" a="1"/>
  <c r="D39" i="1" s="1"/>
  <c r="D40" i="1" a="1"/>
  <c r="D40" i="1" s="1"/>
  <c r="D41" i="1" a="1"/>
  <c r="D41" i="1" s="1"/>
  <c r="D42" i="1" a="1"/>
  <c r="D42" i="1" s="1"/>
  <c r="D43" i="1" a="1"/>
  <c r="D43" i="1" s="1"/>
  <c r="D44" i="1" a="1"/>
  <c r="D44" i="1" s="1"/>
  <c r="D45" i="1" a="1"/>
  <c r="D45" i="1" s="1"/>
  <c r="D46" i="1" a="1"/>
  <c r="D46" i="1" s="1"/>
  <c r="D47" i="1" a="1"/>
  <c r="D47" i="1" s="1"/>
  <c r="D48" i="1" a="1"/>
  <c r="D48" i="1" s="1"/>
  <c r="D49" i="1" a="1"/>
  <c r="D49" i="1" s="1"/>
  <c r="D50" i="1" a="1"/>
  <c r="D50" i="1" s="1"/>
  <c r="D51" i="1" a="1"/>
  <c r="D51" i="1" s="1"/>
  <c r="D52" i="1" a="1"/>
  <c r="D52" i="1" s="1"/>
  <c r="D53" i="1" a="1"/>
  <c r="D53" i="1" s="1"/>
  <c r="D54" i="1" a="1"/>
  <c r="D54" i="1" s="1"/>
  <c r="D55" i="1" a="1"/>
  <c r="D55" i="1" s="1"/>
  <c r="D56" i="1" a="1"/>
  <c r="D56" i="1" s="1"/>
  <c r="D57" i="1" a="1"/>
  <c r="D57" i="1" s="1"/>
  <c r="D58" i="1" a="1"/>
  <c r="D58" i="1" s="1"/>
  <c r="D59" i="1" a="1"/>
  <c r="D59" i="1" s="1"/>
  <c r="D60" i="1" a="1"/>
  <c r="D60" i="1" s="1"/>
  <c r="D61" i="1" a="1"/>
  <c r="D61" i="1" s="1"/>
  <c r="D62" i="1" a="1"/>
  <c r="D62" i="1" s="1"/>
  <c r="D63" i="1" a="1"/>
  <c r="D63" i="1" s="1"/>
  <c r="D64" i="1" a="1"/>
  <c r="D64" i="1" s="1"/>
  <c r="D65" i="1" a="1"/>
  <c r="D65" i="1" s="1"/>
  <c r="D66" i="1" a="1"/>
  <c r="D66" i="1" s="1"/>
  <c r="D67" i="1" a="1"/>
  <c r="D67" i="1" s="1"/>
  <c r="D68" i="1" a="1"/>
  <c r="D68" i="1" s="1"/>
  <c r="D69" i="1" a="1"/>
  <c r="D69" i="1" s="1"/>
  <c r="D70" i="1" a="1"/>
  <c r="D70" i="1" s="1"/>
  <c r="D71" i="1" a="1"/>
  <c r="D71" i="1" s="1"/>
  <c r="D72" i="1" a="1"/>
  <c r="D72" i="1" s="1"/>
  <c r="D73" i="1" a="1"/>
  <c r="D73" i="1" s="1"/>
  <c r="D74" i="1" a="1"/>
  <c r="D74" i="1" s="1"/>
  <c r="D75" i="1" a="1"/>
  <c r="D75" i="1" s="1"/>
  <c r="D76" i="1" a="1"/>
  <c r="D76" i="1" s="1"/>
  <c r="D77" i="1" a="1"/>
  <c r="D77" i="1" s="1"/>
  <c r="D78" i="1" a="1"/>
  <c r="D78" i="1" s="1"/>
  <c r="D79" i="1" a="1"/>
  <c r="D79" i="1" s="1"/>
  <c r="D80" i="1" a="1"/>
  <c r="D80" i="1" s="1"/>
  <c r="D81" i="1" a="1"/>
  <c r="D81" i="1" s="1"/>
  <c r="D82" i="1" a="1"/>
  <c r="D82" i="1" s="1"/>
  <c r="D83" i="1" a="1"/>
  <c r="D83" i="1" s="1"/>
  <c r="D84" i="1" a="1"/>
  <c r="D84" i="1" s="1"/>
  <c r="D85" i="1" a="1"/>
  <c r="D85" i="1" s="1"/>
  <c r="D86" i="1" a="1"/>
  <c r="D86" i="1" s="1"/>
  <c r="D87" i="1" a="1"/>
  <c r="D87" i="1" s="1"/>
  <c r="D88" i="1" a="1"/>
  <c r="D88" i="1" s="1"/>
  <c r="D89" i="1" a="1"/>
  <c r="D89" i="1" s="1"/>
  <c r="D90" i="1" a="1"/>
  <c r="D90" i="1" s="1"/>
  <c r="D91" i="1" a="1"/>
  <c r="D91" i="1" s="1"/>
  <c r="D92" i="1" a="1"/>
  <c r="D92" i="1" s="1"/>
  <c r="D93" i="1" a="1"/>
  <c r="D93" i="1" s="1"/>
  <c r="D94" i="1" a="1"/>
  <c r="D94" i="1" s="1"/>
  <c r="D95" i="1" a="1"/>
  <c r="D95" i="1" s="1"/>
  <c r="D96" i="1" a="1"/>
  <c r="D96" i="1" s="1"/>
  <c r="D97" i="1" a="1"/>
  <c r="D97" i="1" s="1"/>
  <c r="D98" i="1" a="1"/>
  <c r="D98" i="1" s="1"/>
  <c r="D99" i="1" a="1"/>
  <c r="D99" i="1" s="1"/>
  <c r="D100" i="1" a="1"/>
  <c r="D100" i="1" s="1"/>
  <c r="D101" i="1" a="1"/>
  <c r="D101" i="1" s="1"/>
  <c r="D102" i="1" a="1"/>
  <c r="D102" i="1" s="1"/>
  <c r="D103" i="1" a="1"/>
  <c r="D103" i="1" s="1"/>
  <c r="D104" i="1" a="1"/>
  <c r="D104" i="1" s="1"/>
  <c r="D105" i="1" a="1"/>
  <c r="D105" i="1" s="1"/>
  <c r="D106" i="1" a="1"/>
  <c r="D106" i="1" s="1"/>
  <c r="D107" i="1" a="1"/>
  <c r="D107" i="1" s="1"/>
  <c r="D108" i="1" a="1"/>
  <c r="D108" i="1" s="1"/>
  <c r="D109" i="1" a="1"/>
  <c r="D109" i="1" s="1"/>
  <c r="D110" i="1" a="1"/>
  <c r="D110" i="1" s="1"/>
  <c r="D111" i="1" a="1"/>
  <c r="D111" i="1" s="1"/>
  <c r="D112" i="1" a="1"/>
  <c r="D112" i="1" s="1"/>
  <c r="D113" i="1" a="1"/>
  <c r="D113" i="1" s="1"/>
  <c r="D114" i="1" a="1"/>
  <c r="D114" i="1" s="1"/>
  <c r="D115" i="1" a="1"/>
  <c r="D115" i="1" s="1"/>
  <c r="D116" i="1" a="1"/>
  <c r="D116" i="1" s="1"/>
  <c r="D117" i="1" a="1"/>
  <c r="D117" i="1" s="1"/>
  <c r="D118" i="1" a="1"/>
  <c r="D118" i="1" s="1"/>
  <c r="D119" i="1" a="1"/>
  <c r="D119" i="1" s="1"/>
  <c r="D120" i="1" a="1"/>
  <c r="D120" i="1" s="1"/>
  <c r="D121" i="1" a="1"/>
  <c r="D121" i="1" s="1"/>
  <c r="D122" i="1" a="1"/>
  <c r="D122" i="1" s="1"/>
  <c r="D123" i="1" a="1"/>
  <c r="D123" i="1" s="1"/>
  <c r="D124" i="1" a="1"/>
  <c r="D124" i="1" s="1"/>
  <c r="D125" i="1" a="1"/>
  <c r="D125" i="1" s="1"/>
  <c r="D126" i="1" a="1"/>
  <c r="D126" i="1" s="1"/>
  <c r="D127" i="1" a="1"/>
  <c r="D127" i="1" s="1"/>
  <c r="D128" i="1" a="1"/>
  <c r="D128" i="1" s="1"/>
  <c r="D129" i="1" a="1"/>
  <c r="D129" i="1" s="1"/>
  <c r="D130" i="1" a="1"/>
  <c r="D130" i="1" s="1"/>
  <c r="D131" i="1" a="1"/>
  <c r="D131" i="1" s="1"/>
  <c r="D132" i="1" a="1"/>
  <c r="D132" i="1" s="1"/>
  <c r="D133" i="1" a="1"/>
  <c r="D133" i="1" s="1"/>
  <c r="D134" i="1" a="1"/>
  <c r="D134" i="1" s="1"/>
  <c r="D135" i="1" a="1"/>
  <c r="D135" i="1" s="1"/>
  <c r="D136" i="1" a="1"/>
  <c r="D136" i="1" s="1"/>
  <c r="D137" i="1" a="1"/>
  <c r="D137" i="1" s="1"/>
  <c r="D138" i="1" a="1"/>
  <c r="D138" i="1" s="1"/>
  <c r="D139" i="1" a="1"/>
  <c r="D139" i="1" s="1"/>
  <c r="D140" i="1" a="1"/>
  <c r="D140" i="1" s="1"/>
  <c r="D141" i="1" a="1"/>
  <c r="D141" i="1" s="1"/>
  <c r="D142" i="1" a="1"/>
  <c r="D142" i="1" s="1"/>
  <c r="D143" i="1" a="1"/>
  <c r="D143" i="1" s="1"/>
  <c r="D144" i="1" a="1"/>
  <c r="D144" i="1" s="1"/>
  <c r="D145" i="1" a="1"/>
  <c r="D145" i="1" s="1"/>
  <c r="D146" i="1" a="1"/>
  <c r="D146" i="1" s="1"/>
  <c r="D147" i="1" a="1"/>
  <c r="D147" i="1" s="1"/>
  <c r="D148" i="1" a="1"/>
  <c r="D148" i="1" s="1"/>
  <c r="D149" i="1" a="1"/>
  <c r="D149" i="1" s="1"/>
  <c r="D150" i="1" a="1"/>
  <c r="D150" i="1" s="1"/>
  <c r="D151" i="1" a="1"/>
  <c r="D151" i="1" s="1"/>
  <c r="D152" i="1" a="1"/>
  <c r="D152" i="1" s="1"/>
  <c r="D153" i="1" a="1"/>
  <c r="D153" i="1" s="1"/>
  <c r="D154" i="1" a="1"/>
  <c r="D154" i="1" s="1"/>
  <c r="D155" i="1" a="1"/>
  <c r="D155" i="1" s="1"/>
  <c r="D156" i="1" a="1"/>
  <c r="D156" i="1" s="1"/>
  <c r="D157" i="1" a="1"/>
  <c r="D157" i="1" s="1"/>
  <c r="D158" i="1" a="1"/>
  <c r="D158" i="1" s="1"/>
  <c r="D159" i="1" a="1"/>
  <c r="D159" i="1" s="1"/>
  <c r="D160" i="1" a="1"/>
  <c r="D160" i="1" s="1"/>
  <c r="D161" i="1" a="1"/>
  <c r="D161" i="1" s="1"/>
  <c r="D162" i="1" a="1"/>
  <c r="D162" i="1" s="1"/>
  <c r="D163" i="1" a="1"/>
  <c r="D163" i="1" s="1"/>
  <c r="D164" i="1" a="1"/>
  <c r="D164" i="1" s="1"/>
  <c r="D165" i="1" a="1"/>
  <c r="D165" i="1" s="1"/>
  <c r="D166" i="1" a="1"/>
  <c r="D166" i="1" s="1"/>
  <c r="D167" i="1" a="1"/>
  <c r="D167" i="1" s="1"/>
  <c r="D168" i="1" a="1"/>
  <c r="D168" i="1" s="1"/>
  <c r="D169" i="1" a="1"/>
  <c r="D169" i="1" s="1"/>
  <c r="D170" i="1" a="1"/>
  <c r="D170" i="1" s="1"/>
  <c r="D171" i="1" a="1"/>
  <c r="D171" i="1" s="1"/>
  <c r="D172" i="1" a="1"/>
  <c r="D172" i="1" s="1"/>
  <c r="D173" i="1" a="1"/>
  <c r="D173" i="1" s="1"/>
  <c r="D174" i="1" a="1"/>
  <c r="D174" i="1" s="1"/>
  <c r="D175" i="1" a="1"/>
  <c r="D175" i="1" s="1"/>
  <c r="D176" i="1" a="1"/>
  <c r="D176" i="1" s="1"/>
  <c r="D177" i="1" a="1"/>
  <c r="D177" i="1" s="1"/>
  <c r="D178" i="1" a="1"/>
  <c r="D178" i="1" s="1"/>
  <c r="D179" i="1" a="1"/>
  <c r="D179" i="1" s="1"/>
  <c r="D180" i="1" a="1"/>
  <c r="D180" i="1" s="1"/>
  <c r="D181" i="1" a="1"/>
  <c r="D181" i="1" s="1"/>
  <c r="D182" i="1" a="1"/>
  <c r="D182" i="1" s="1"/>
  <c r="D183" i="1" a="1"/>
  <c r="D183" i="1" s="1"/>
  <c r="D184" i="1" a="1"/>
  <c r="D184" i="1" s="1"/>
  <c r="D185" i="1" a="1"/>
  <c r="D185" i="1" s="1"/>
  <c r="D186" i="1" a="1"/>
  <c r="D186" i="1" s="1"/>
  <c r="D187" i="1" a="1"/>
  <c r="D187" i="1" s="1"/>
  <c r="D188" i="1" a="1"/>
  <c r="D188" i="1" s="1"/>
  <c r="D189" i="1" a="1"/>
  <c r="D189" i="1" s="1"/>
  <c r="D190" i="1" a="1"/>
  <c r="D190" i="1" s="1"/>
  <c r="D191" i="1" a="1"/>
  <c r="D191" i="1" s="1"/>
  <c r="D192" i="1" a="1"/>
  <c r="D192" i="1" s="1"/>
  <c r="D193" i="1" a="1"/>
  <c r="D193" i="1" s="1"/>
  <c r="D194" i="1" a="1"/>
  <c r="D194" i="1" s="1"/>
  <c r="D195" i="1" a="1"/>
  <c r="D195" i="1" s="1"/>
  <c r="D196" i="1" a="1"/>
  <c r="D196" i="1" s="1"/>
  <c r="D197" i="1" a="1"/>
  <c r="D197" i="1" s="1"/>
  <c r="D198" i="1" a="1"/>
  <c r="D198" i="1" s="1"/>
  <c r="D199" i="1" a="1"/>
  <c r="D199" i="1" s="1"/>
  <c r="D200" i="1" a="1"/>
  <c r="D200" i="1" s="1"/>
  <c r="D201" i="1" a="1"/>
  <c r="D201" i="1" s="1"/>
  <c r="D202" i="1" a="1"/>
  <c r="D202" i="1" s="1"/>
  <c r="D203" i="1" a="1"/>
  <c r="D203" i="1" s="1"/>
  <c r="D204" i="1" a="1"/>
  <c r="D204" i="1" s="1"/>
  <c r="D205" i="1" a="1"/>
  <c r="D205" i="1" s="1"/>
  <c r="D206" i="1" a="1"/>
  <c r="D206" i="1" s="1"/>
  <c r="D207" i="1" a="1"/>
  <c r="D207" i="1" s="1"/>
  <c r="D208" i="1" a="1"/>
  <c r="D208" i="1" s="1"/>
  <c r="D209" i="1" a="1"/>
  <c r="D209" i="1" s="1"/>
  <c r="D210" i="1" a="1"/>
  <c r="D210" i="1" s="1"/>
  <c r="D211" i="1" a="1"/>
  <c r="D211" i="1" s="1"/>
  <c r="D16" i="1" a="1"/>
  <c r="D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16" i="1" a="1"/>
  <c r="C16" i="1" s="1"/>
  <c r="C203" i="1"/>
  <c r="C204" i="1"/>
  <c r="C205" i="1"/>
  <c r="C206" i="1"/>
  <c r="C207" i="1"/>
  <c r="C208" i="1"/>
  <c r="C209" i="1"/>
  <c r="C210" i="1"/>
  <c r="B207" i="1" a="1"/>
  <c r="B207" i="1" s="1"/>
  <c r="B208" i="1" a="1"/>
  <c r="B208" i="1" s="1"/>
  <c r="E23" i="1" l="1"/>
  <c r="E17" i="1"/>
  <c r="E21" i="1"/>
  <c r="E22" i="1"/>
  <c r="E16" i="1"/>
  <c r="E19" i="1"/>
  <c r="E18" i="1"/>
  <c r="C211" i="1" l="1"/>
  <c r="B211" i="1" a="1"/>
  <c r="B211" i="1" s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F226" i="1" l="1"/>
  <c r="C226" i="1" l="1"/>
  <c r="D226" i="1"/>
</calcChain>
</file>

<file path=xl/sharedStrings.xml><?xml version="1.0" encoding="utf-8"?>
<sst xmlns="http://schemas.openxmlformats.org/spreadsheetml/2006/main" count="5527" uniqueCount="2685">
  <si>
    <t>County</t>
  </si>
  <si>
    <t>Votes</t>
  </si>
  <si>
    <t>TOTALS</t>
  </si>
  <si>
    <t>Number of Candidates</t>
  </si>
  <si>
    <t>Position Being Elected</t>
  </si>
  <si>
    <t>ALAMANCE</t>
  </si>
  <si>
    <t>ALEXANDER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</si>
  <si>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</si>
  <si>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</si>
  <si>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</si>
  <si>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</si>
  <si>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</si>
  <si>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</si>
  <si>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</si>
  <si>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</si>
  <si>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</si>
  <si>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BURKE</t>
  </si>
  <si>
    <t>CABARRUS</t>
  </si>
  <si>
    <t>CALDWELL</t>
  </si>
  <si>
    <t>CAMDEN</t>
  </si>
  <si>
    <t>CARTERET</t>
  </si>
  <si>
    <t>CASWELL</t>
  </si>
  <si>
    <t>CATAWBA</t>
  </si>
  <si>
    <t>CHATHAM</t>
  </si>
  <si>
    <t>CHEROKEE</t>
  </si>
  <si>
    <t>CHOWAN</t>
  </si>
  <si>
    <t>CLAY</t>
  </si>
  <si>
    <t>CLEVELAND</t>
  </si>
  <si>
    <t>COLUMBUS</t>
  </si>
  <si>
    <t>CRAVEN</t>
  </si>
  <si>
    <t>CUMBERLAND</t>
  </si>
  <si>
    <t>CURRITUCK</t>
  </si>
  <si>
    <t>DARE</t>
  </si>
  <si>
    <t>DAVIDSON</t>
  </si>
  <si>
    <t>DAVIE</t>
  </si>
  <si>
    <t>DUPLIN</t>
  </si>
  <si>
    <t>DURHAM</t>
  </si>
  <si>
    <t>EDGECOMBE</t>
  </si>
  <si>
    <t>FORSYTH</t>
  </si>
  <si>
    <t>FRANKLIN</t>
  </si>
  <si>
    <t>GASTON</t>
  </si>
  <si>
    <t>UNION</t>
  </si>
  <si>
    <t>GATES</t>
  </si>
  <si>
    <t>GRAHAM</t>
  </si>
  <si>
    <t>GRANVILLE</t>
  </si>
  <si>
    <t>GREENE</t>
  </si>
  <si>
    <t>GUILFORD</t>
  </si>
  <si>
    <t>HALIFAX</t>
  </si>
  <si>
    <t>HARNETT</t>
  </si>
  <si>
    <t>HAYWOOD</t>
  </si>
  <si>
    <t>HENDERSON</t>
  </si>
  <si>
    <t>HERTFORD</t>
  </si>
  <si>
    <t>HOKE</t>
  </si>
  <si>
    <t>HYDE</t>
  </si>
  <si>
    <t>IREDELL</t>
  </si>
  <si>
    <t>JACKSON</t>
  </si>
  <si>
    <t>JOHNSTON</t>
  </si>
  <si>
    <t>JONES</t>
  </si>
  <si>
    <t>LEE</t>
  </si>
  <si>
    <t>LENOIR</t>
  </si>
  <si>
    <t>VANCE</t>
  </si>
  <si>
    <t>LINCOLN</t>
  </si>
  <si>
    <t>MACON</t>
  </si>
  <si>
    <t>MADISON</t>
  </si>
  <si>
    <t>MARTIN</t>
  </si>
  <si>
    <t>MCDOWELL</t>
  </si>
  <si>
    <t>MECKLENBURG</t>
  </si>
  <si>
    <t>MITCHELL</t>
  </si>
  <si>
    <t>MONTGOMERY</t>
  </si>
  <si>
    <t>MOORE</t>
  </si>
  <si>
    <t>NASH</t>
  </si>
  <si>
    <t>NEW HANOVER</t>
  </si>
  <si>
    <t>NORTHAMPTON</t>
  </si>
  <si>
    <t>ONSLOW</t>
  </si>
  <si>
    <t>ORANGE</t>
  </si>
  <si>
    <t>PAMLICO</t>
  </si>
  <si>
    <t>PASQUOTANK</t>
  </si>
  <si>
    <t>PENDER</t>
  </si>
  <si>
    <t>PERQUIMANS</t>
  </si>
  <si>
    <t>PERSON</t>
  </si>
  <si>
    <t>PITT</t>
  </si>
  <si>
    <t>POLK</t>
  </si>
  <si>
    <t>RANDOLPH</t>
  </si>
  <si>
    <t>RICHMOND</t>
  </si>
  <si>
    <t>ROBESON</t>
  </si>
  <si>
    <t>ROCKINGHAM</t>
  </si>
  <si>
    <t>ROWAN</t>
  </si>
  <si>
    <t>RUTHERFORD</t>
  </si>
  <si>
    <t>SAMPSON</t>
  </si>
  <si>
    <t>SCOTLAND</t>
  </si>
  <si>
    <t>STANLY</t>
  </si>
  <si>
    <t>STOKES</t>
  </si>
  <si>
    <t>SURRY</t>
  </si>
  <si>
    <t>SWAIN</t>
  </si>
  <si>
    <t>TRANSYLVANIA</t>
  </si>
  <si>
    <t>TYRRELL</t>
  </si>
  <si>
    <t>WAKE</t>
  </si>
  <si>
    <t>WARREN</t>
  </si>
  <si>
    <t>WASHINGTON</t>
  </si>
  <si>
    <t>WATAUGA</t>
  </si>
  <si>
    <t>WAYNE</t>
  </si>
  <si>
    <t>WILKES</t>
  </si>
  <si>
    <t>WILSON</t>
  </si>
  <si>
    <t>YADKIN</t>
  </si>
  <si>
    <t>YANCEY</t>
  </si>
  <si>
    <t>Cooper</t>
  </si>
  <si>
    <t>P ALBRIGHT</t>
  </si>
  <si>
    <t>P BOONE 5</t>
  </si>
  <si>
    <t>P BURLINGTON 10</t>
  </si>
  <si>
    <t>P BURLINGTON 4</t>
  </si>
  <si>
    <t>P BURLINGTON 5</t>
  </si>
  <si>
    <t>P BURLINGTON 6</t>
  </si>
  <si>
    <t>P BURLINGTON 7</t>
  </si>
  <si>
    <t>P BURLINGTON 8</t>
  </si>
  <si>
    <t>P BURLINGTON 9</t>
  </si>
  <si>
    <t>P CENTRAL BOONE</t>
  </si>
  <si>
    <t>P COBLE</t>
  </si>
  <si>
    <t>P EAST BURLINGTON</t>
  </si>
  <si>
    <t>P EAST GRAHAM</t>
  </si>
  <si>
    <t>P FAUCETTE</t>
  </si>
  <si>
    <t>P GRAHAM 3</t>
  </si>
  <si>
    <t>P GRAHAM 4</t>
  </si>
  <si>
    <t>P HAW RIVER</t>
  </si>
  <si>
    <t>P MELVILLE 3</t>
  </si>
  <si>
    <t>P MORTON</t>
  </si>
  <si>
    <t>P NORTH BOONE</t>
  </si>
  <si>
    <t>P NORTH BOONE 2</t>
  </si>
  <si>
    <t>P NORTH BURLINGTON</t>
  </si>
  <si>
    <t>P NORTH GRAHAM</t>
  </si>
  <si>
    <t>P NORTH MELVILLE</t>
  </si>
  <si>
    <t>P NORTH NEWLIN</t>
  </si>
  <si>
    <t>P NORTH THOMPSON</t>
  </si>
  <si>
    <t>P PATTERSON</t>
  </si>
  <si>
    <t>P PLEASANT GROVE</t>
  </si>
  <si>
    <t>P SOUTH BOONE</t>
  </si>
  <si>
    <t>P SOUTH BURLINGTON</t>
  </si>
  <si>
    <t>P SOUTH GRAHAM</t>
  </si>
  <si>
    <t>P SOUTH MELVILLE</t>
  </si>
  <si>
    <t>P SOUTH NEWLIN</t>
  </si>
  <si>
    <t>P SOUTH THOMPSON</t>
  </si>
  <si>
    <t>P WEST BOONE</t>
  </si>
  <si>
    <t>P WEST BURLINGTON</t>
  </si>
  <si>
    <t>P WEST GRAHAM</t>
  </si>
  <si>
    <t>P BETHLEHEM #1</t>
  </si>
  <si>
    <t>P BETHLEHEM #2</t>
  </si>
  <si>
    <t>P ELLENDALE</t>
  </si>
  <si>
    <t>P GWALTNEY #1 #2</t>
  </si>
  <si>
    <t>P LITTLE RIVER AND SUGAR LOAF</t>
  </si>
  <si>
    <t>P MILLERS</t>
  </si>
  <si>
    <t>P SHARPES #1 #2</t>
  </si>
  <si>
    <t>P TAYLORSVILLE #1 #4 #5</t>
  </si>
  <si>
    <t>P TAYLORSVILLE #2 #3</t>
  </si>
  <si>
    <t>P WITTENBURG</t>
  </si>
  <si>
    <t>P CHERRY LANE</t>
  </si>
  <si>
    <t>P GAP CIVIL</t>
  </si>
  <si>
    <t>P GLADE CREEK</t>
  </si>
  <si>
    <t>P PRATHERS CREEK</t>
  </si>
  <si>
    <t>P ANSONVILLE</t>
  </si>
  <si>
    <t>P BURNSVILLE</t>
  </si>
  <si>
    <t>P GULLEDGE</t>
  </si>
  <si>
    <t>P LILESVILLE</t>
  </si>
  <si>
    <t>P MORVEN/MCFARLAN</t>
  </si>
  <si>
    <t>P PEACHLAND</t>
  </si>
  <si>
    <t>P POLKTON</t>
  </si>
  <si>
    <t>P WADESBORO 1</t>
  </si>
  <si>
    <t>P WADESBORO 2</t>
  </si>
  <si>
    <t>P WADESBORO 3</t>
  </si>
  <si>
    <t>P WHITE STORE</t>
  </si>
  <si>
    <t>P 0BIDS</t>
  </si>
  <si>
    <t>P CLIFTON</t>
  </si>
  <si>
    <t>P CRESTON</t>
  </si>
  <si>
    <t>P ELK</t>
  </si>
  <si>
    <t>P HELTON</t>
  </si>
  <si>
    <t>P HORSE CREEK</t>
  </si>
  <si>
    <t>P HURRICANE</t>
  </si>
  <si>
    <t>P JEFFERSON</t>
  </si>
  <si>
    <t>P LAUREL</t>
  </si>
  <si>
    <t>P NEW RIVER</t>
  </si>
  <si>
    <t>P NORTH FORK</t>
  </si>
  <si>
    <t>P OLD FIELDS</t>
  </si>
  <si>
    <t>P PEAK CREEK</t>
  </si>
  <si>
    <t>P PINE SWAMP</t>
  </si>
  <si>
    <t>P PINEY CREEK</t>
  </si>
  <si>
    <t>P POND MOUNTAIN</t>
  </si>
  <si>
    <t>P WEST JEFFERSON</t>
  </si>
  <si>
    <t>P ALTAMONT</t>
  </si>
  <si>
    <t>P BANNER ELK</t>
  </si>
  <si>
    <t>P BEECH MOUNTAIN</t>
  </si>
  <si>
    <t>P CAREYS FLAT</t>
  </si>
  <si>
    <t>P CRANBERRY</t>
  </si>
  <si>
    <t>P ELK PARK</t>
  </si>
  <si>
    <t>P FRANK</t>
  </si>
  <si>
    <t>P HEATON</t>
  </si>
  <si>
    <t>P HUGHES</t>
  </si>
  <si>
    <t>P INGALLS</t>
  </si>
  <si>
    <t>P LINVILLE</t>
  </si>
  <si>
    <t>P MINNEAPOLIS</t>
  </si>
  <si>
    <t>P MONTEZUMA</t>
  </si>
  <si>
    <t>P NEWLAND # 1</t>
  </si>
  <si>
    <t>P NEWLAND # 2</t>
  </si>
  <si>
    <t>P PINEOLA</t>
  </si>
  <si>
    <t>P PLUMTREE</t>
  </si>
  <si>
    <t>P PYATTE</t>
  </si>
  <si>
    <t>P ROARING CREEK</t>
  </si>
  <si>
    <t>P AURORA</t>
  </si>
  <si>
    <t>P BEAVER DAM</t>
  </si>
  <si>
    <t>P BELHAVEN</t>
  </si>
  <si>
    <t>P BLOUNTS CREEK</t>
  </si>
  <si>
    <t>P CHOCOWINITY</t>
  </si>
  <si>
    <t>P EDWARD</t>
  </si>
  <si>
    <t>P GILEAD</t>
  </si>
  <si>
    <t>P HUNTERS BRIDGE</t>
  </si>
  <si>
    <t>P NORTH CREEK</t>
  </si>
  <si>
    <t>P OLD FORD</t>
  </si>
  <si>
    <t>P P S JONES-WASH W3</t>
  </si>
  <si>
    <t>P PANTEGO</t>
  </si>
  <si>
    <t>P PINETOWN</t>
  </si>
  <si>
    <t>P RIVER ROAD</t>
  </si>
  <si>
    <t>P SURRY-BATH</t>
  </si>
  <si>
    <t>P TRANTERS CREEK</t>
  </si>
  <si>
    <t>P WASHINGTON PARK</t>
  </si>
  <si>
    <t>P WASHINGTON WARD 1</t>
  </si>
  <si>
    <t>P WASHINGTON WARD 2</t>
  </si>
  <si>
    <t>P WASHINGTON WARD 4</t>
  </si>
  <si>
    <t>P WOODARDS POND</t>
  </si>
  <si>
    <t>P COLERAIN 1</t>
  </si>
  <si>
    <t>P COLERAIN 2</t>
  </si>
  <si>
    <t>P INDIAN WOODS</t>
  </si>
  <si>
    <t>P MERRY HILL</t>
  </si>
  <si>
    <t>P MITCHELLS 1</t>
  </si>
  <si>
    <t>P MITCHELLS 2</t>
  </si>
  <si>
    <t>P ROXOBEL</t>
  </si>
  <si>
    <t>P SNAKEBITE</t>
  </si>
  <si>
    <t>P WHITES</t>
  </si>
  <si>
    <t>P WINDSOR 1</t>
  </si>
  <si>
    <t>P WINDSOR 2</t>
  </si>
  <si>
    <t>P WOODVILLE</t>
  </si>
  <si>
    <t>P ABBOTTS</t>
  </si>
  <si>
    <t>P BETHEL</t>
  </si>
  <si>
    <t>P BLADENBORO #1</t>
  </si>
  <si>
    <t>P BLADENBORO #2</t>
  </si>
  <si>
    <t>P BROWN MARSH</t>
  </si>
  <si>
    <t>P CARVERS CREEK</t>
  </si>
  <si>
    <t>P CENTRAL</t>
  </si>
  <si>
    <t>P COLLY</t>
  </si>
  <si>
    <t>P CYPRESS CREEK</t>
  </si>
  <si>
    <t>P ELIZABETHTOWN #1</t>
  </si>
  <si>
    <t>P ELIZABETHTOWN #2</t>
  </si>
  <si>
    <t>P FRENCHES CREEK</t>
  </si>
  <si>
    <t>P HOLLOW</t>
  </si>
  <si>
    <t>P LAKE CREEK</t>
  </si>
  <si>
    <t>P TURNBULL</t>
  </si>
  <si>
    <t>P WHITE OAK</t>
  </si>
  <si>
    <t>P WHITES CREEK</t>
  </si>
  <si>
    <t>P BELVILLE 1</t>
  </si>
  <si>
    <t>P BELVILLE 2</t>
  </si>
  <si>
    <t>P BELVILLE 3</t>
  </si>
  <si>
    <t>P BOILING SPRING LAKES</t>
  </si>
  <si>
    <t>P BOLIVIA</t>
  </si>
  <si>
    <t>P FRYING PAN</t>
  </si>
  <si>
    <t>P GRISSETTOWN</t>
  </si>
  <si>
    <t>P HOOD CREEK</t>
  </si>
  <si>
    <t>P LELAND</t>
  </si>
  <si>
    <t>P LONGWOOD</t>
  </si>
  <si>
    <t>P MOSQUITO 1</t>
  </si>
  <si>
    <t>P MOSQUITO 2</t>
  </si>
  <si>
    <t>P OAK ISLAND 1</t>
  </si>
  <si>
    <t>P OAK ISLAND 2</t>
  </si>
  <si>
    <t>P OAK ISLAND 3</t>
  </si>
  <si>
    <t>P SECESSION 1</t>
  </si>
  <si>
    <t>P SECESSION 2</t>
  </si>
  <si>
    <t>P SHALLOTTE</t>
  </si>
  <si>
    <t>P SHINGLETREE 1</t>
  </si>
  <si>
    <t>P SHINGLETREE 2</t>
  </si>
  <si>
    <t>P SOUTHPORT 1</t>
  </si>
  <si>
    <t>P SOUTHPORT 2</t>
  </si>
  <si>
    <t>P SUPPLY</t>
  </si>
  <si>
    <t>P TOWNCREEK</t>
  </si>
  <si>
    <t>P WACCAMAW</t>
  </si>
  <si>
    <t>P WOODBURN</t>
  </si>
  <si>
    <t>P 01.1</t>
  </si>
  <si>
    <t>P 02.1</t>
  </si>
  <si>
    <t>P 03.1</t>
  </si>
  <si>
    <t>P 04.1</t>
  </si>
  <si>
    <t>P 05.1</t>
  </si>
  <si>
    <t>P 06.1</t>
  </si>
  <si>
    <t>P 07.1</t>
  </si>
  <si>
    <t>P 08.2</t>
  </si>
  <si>
    <t>P 08.3</t>
  </si>
  <si>
    <t>P 09.1</t>
  </si>
  <si>
    <t>P 10.1</t>
  </si>
  <si>
    <t>P 11.1</t>
  </si>
  <si>
    <t>P 12.1</t>
  </si>
  <si>
    <t>P 13.1</t>
  </si>
  <si>
    <t>P 14.2</t>
  </si>
  <si>
    <t>P 14.3</t>
  </si>
  <si>
    <t>P 15.1</t>
  </si>
  <si>
    <t>P 16.2</t>
  </si>
  <si>
    <t>P 17.1</t>
  </si>
  <si>
    <t>P 18.2</t>
  </si>
  <si>
    <t>P 19.1</t>
  </si>
  <si>
    <t>P 20.1</t>
  </si>
  <si>
    <t>P 21.1</t>
  </si>
  <si>
    <t>P 22.2</t>
  </si>
  <si>
    <t>P 23.2</t>
  </si>
  <si>
    <t>P 23.3</t>
  </si>
  <si>
    <t>P 24.1</t>
  </si>
  <si>
    <t>P 25.1</t>
  </si>
  <si>
    <t>P 26.1</t>
  </si>
  <si>
    <t>P 27.2</t>
  </si>
  <si>
    <t>P 28.1</t>
  </si>
  <si>
    <t>P 29.2</t>
  </si>
  <si>
    <t>P 30.2</t>
  </si>
  <si>
    <t>P 30.3</t>
  </si>
  <si>
    <t>P 31.1</t>
  </si>
  <si>
    <t>P 32.1</t>
  </si>
  <si>
    <t>P 33.2</t>
  </si>
  <si>
    <t>P 33.3</t>
  </si>
  <si>
    <t>P 34.1</t>
  </si>
  <si>
    <t>P 35.1</t>
  </si>
  <si>
    <t>P 36.1</t>
  </si>
  <si>
    <t>P 37.1</t>
  </si>
  <si>
    <t>P 38.2</t>
  </si>
  <si>
    <t>P 38.3</t>
  </si>
  <si>
    <t>P 39.2</t>
  </si>
  <si>
    <t>P 39.3</t>
  </si>
  <si>
    <t>P 40.2</t>
  </si>
  <si>
    <t>P 41.1</t>
  </si>
  <si>
    <t>P 42.1</t>
  </si>
  <si>
    <t>P 43.2</t>
  </si>
  <si>
    <t>P 44.1</t>
  </si>
  <si>
    <t>P 45.1</t>
  </si>
  <si>
    <t>P 46.1</t>
  </si>
  <si>
    <t>P 47.1</t>
  </si>
  <si>
    <t>P 48.1</t>
  </si>
  <si>
    <t>P 49.1</t>
  </si>
  <si>
    <t>P 50.1</t>
  </si>
  <si>
    <t>P 51.2</t>
  </si>
  <si>
    <t>P 52.1</t>
  </si>
  <si>
    <t>P 53.1</t>
  </si>
  <si>
    <t>P 54.2</t>
  </si>
  <si>
    <t>P 55.1</t>
  </si>
  <si>
    <t>P 56.2</t>
  </si>
  <si>
    <t>P 57.1</t>
  </si>
  <si>
    <t>P 58.1</t>
  </si>
  <si>
    <t>P 59.1</t>
  </si>
  <si>
    <t>P 60.2</t>
  </si>
  <si>
    <t>P 60.4</t>
  </si>
  <si>
    <t>P 61.1</t>
  </si>
  <si>
    <t>P 62.1</t>
  </si>
  <si>
    <t>P 63.1</t>
  </si>
  <si>
    <t>P 64.1</t>
  </si>
  <si>
    <t>P 65.1</t>
  </si>
  <si>
    <t>P 66.1</t>
  </si>
  <si>
    <t>P 67.1</t>
  </si>
  <si>
    <t>P 68.1</t>
  </si>
  <si>
    <t>P 681</t>
  </si>
  <si>
    <t>P 69.1</t>
  </si>
  <si>
    <t>P 70.1</t>
  </si>
  <si>
    <t>P 71.1</t>
  </si>
  <si>
    <t>P BURKEMONT</t>
  </si>
  <si>
    <t>P CHESTERFIELD</t>
  </si>
  <si>
    <t>P DREXEL 01</t>
  </si>
  <si>
    <t>P DREXEL 03</t>
  </si>
  <si>
    <t>P ICARD 01</t>
  </si>
  <si>
    <t>P ICARD 02</t>
  </si>
  <si>
    <t>P ICARD 03</t>
  </si>
  <si>
    <t>P ICARD 04</t>
  </si>
  <si>
    <t>P ICARD 05</t>
  </si>
  <si>
    <t>P JONAS RIDGE</t>
  </si>
  <si>
    <t>P LINVILLE 01</t>
  </si>
  <si>
    <t>P LINVILLE 02</t>
  </si>
  <si>
    <t>P LOVELADY 01</t>
  </si>
  <si>
    <t>P LOVELADY 02</t>
  </si>
  <si>
    <t>P LOVELADY 04</t>
  </si>
  <si>
    <t>P LOWER FORK-A</t>
  </si>
  <si>
    <t>P LOWER FORK-B</t>
  </si>
  <si>
    <t>P MORGANTON 01</t>
  </si>
  <si>
    <t>P MORGANTON 04</t>
  </si>
  <si>
    <t>P MORGANTON 05</t>
  </si>
  <si>
    <t>P MORGANTON 06</t>
  </si>
  <si>
    <t>P MORGANTON 08</t>
  </si>
  <si>
    <t>P MORGANTON 09</t>
  </si>
  <si>
    <t>P MORGANTON 10</t>
  </si>
  <si>
    <t>P QUAKER MEADOWS #1-A</t>
  </si>
  <si>
    <t>P QUAKER MEADOWS #1-B</t>
  </si>
  <si>
    <t>P QUAKER MEADOWS 02</t>
  </si>
  <si>
    <t>P SALEM</t>
  </si>
  <si>
    <t>P SILVER CREEK 01</t>
  </si>
  <si>
    <t>P SILVER CREEK 02</t>
  </si>
  <si>
    <t>P SILVER CREEK 03</t>
  </si>
  <si>
    <t>P UPPER CREEK</t>
  </si>
  <si>
    <t>P UPPER FORK</t>
  </si>
  <si>
    <t>P 01-02</t>
  </si>
  <si>
    <t>P 01-04</t>
  </si>
  <si>
    <t>P 01-06</t>
  </si>
  <si>
    <t>P 01-07</t>
  </si>
  <si>
    <t>P 01-08</t>
  </si>
  <si>
    <t>P 01-09</t>
  </si>
  <si>
    <t>P 01-10</t>
  </si>
  <si>
    <t>P 02-01</t>
  </si>
  <si>
    <t>P 02-02</t>
  </si>
  <si>
    <t>P 02-03</t>
  </si>
  <si>
    <t>P 02-05</t>
  </si>
  <si>
    <t>P 02-06</t>
  </si>
  <si>
    <t>P 02-07</t>
  </si>
  <si>
    <t>P 02-08</t>
  </si>
  <si>
    <t>P 02-09</t>
  </si>
  <si>
    <t>P 03-00</t>
  </si>
  <si>
    <t>P 04-01</t>
  </si>
  <si>
    <t>P 04-02</t>
  </si>
  <si>
    <t>P 04-03</t>
  </si>
  <si>
    <t>P 04-04</t>
  </si>
  <si>
    <t>P 04-05</t>
  </si>
  <si>
    <t>P 04-06</t>
  </si>
  <si>
    <t>P 04-07</t>
  </si>
  <si>
    <t>P 04-08</t>
  </si>
  <si>
    <t>P 04-09</t>
  </si>
  <si>
    <t>P 04-10</t>
  </si>
  <si>
    <t>P 05-00</t>
  </si>
  <si>
    <t>P 06-00</t>
  </si>
  <si>
    <t>P 07-00</t>
  </si>
  <si>
    <t>P 08-00</t>
  </si>
  <si>
    <t>P 09-00</t>
  </si>
  <si>
    <t>P 10-00</t>
  </si>
  <si>
    <t>P 11-01</t>
  </si>
  <si>
    <t>P 11-02</t>
  </si>
  <si>
    <t>P 12-01</t>
  </si>
  <si>
    <t>P 12-02</t>
  </si>
  <si>
    <t>P 12-03</t>
  </si>
  <si>
    <t>P 12-04</t>
  </si>
  <si>
    <t>P 12-05</t>
  </si>
  <si>
    <t>P 12-06</t>
  </si>
  <si>
    <t>P 12-07</t>
  </si>
  <si>
    <t>P 12-08</t>
  </si>
  <si>
    <t>P 12-09</t>
  </si>
  <si>
    <t>P 12-10</t>
  </si>
  <si>
    <t>P 12-11</t>
  </si>
  <si>
    <t>P 12-12</t>
  </si>
  <si>
    <t>P GAMEWELL #1</t>
  </si>
  <si>
    <t>P GAMEWELL #2</t>
  </si>
  <si>
    <t>P GLOBE/JOHNS RIVER/MULBERRY/WILSON CREEK</t>
  </si>
  <si>
    <t>P HUDSON #33</t>
  </si>
  <si>
    <t>P KINGS CREEK</t>
  </si>
  <si>
    <t>P LENOIR #29</t>
  </si>
  <si>
    <t>P LENOIR #30</t>
  </si>
  <si>
    <t>P LITTLE RIVER</t>
  </si>
  <si>
    <t>P LOVELADY-ONE</t>
  </si>
  <si>
    <t>P LOVELADY-RHODHISS</t>
  </si>
  <si>
    <t>P LOVELADY-TWO</t>
  </si>
  <si>
    <t>P LOWER CREEK #1</t>
  </si>
  <si>
    <t>P LOWER CREEK #2</t>
  </si>
  <si>
    <t>P LOWER CREEK #3</t>
  </si>
  <si>
    <t>P LOWER CREEK #31</t>
  </si>
  <si>
    <t>P NORTH CATAWBA</t>
  </si>
  <si>
    <t>P NORTH CATAWBA #2</t>
  </si>
  <si>
    <t>P SAWMILLS #1</t>
  </si>
  <si>
    <t>P SAWMILLS #2</t>
  </si>
  <si>
    <t>P COURTHOUSE</t>
  </si>
  <si>
    <t>P SHILOH</t>
  </si>
  <si>
    <t>P SOUTH MILLS</t>
  </si>
  <si>
    <t>P ATLANTIC BEACH</t>
  </si>
  <si>
    <t>P ATLANTIC/SEA LEVEL</t>
  </si>
  <si>
    <t>P BEAUFORT 1</t>
  </si>
  <si>
    <t>P BEAUFORT 2</t>
  </si>
  <si>
    <t>P BOGUE</t>
  </si>
  <si>
    <t>P BROAD CREEK</t>
  </si>
  <si>
    <t>P CAPE CARTERET/CEDAR POINT</t>
  </si>
  <si>
    <t>P CEDAR ISLAND</t>
  </si>
  <si>
    <t>P DAVIS/STACY/WILLISTON</t>
  </si>
  <si>
    <t>P EMERALD ISLE</t>
  </si>
  <si>
    <t>P HARKERS ISLAND</t>
  </si>
  <si>
    <t>P INDIAN BEACH/SALTER PATH</t>
  </si>
  <si>
    <t>P MARSHALLBERG/SMYRNA</t>
  </si>
  <si>
    <t>P MERRIMON</t>
  </si>
  <si>
    <t>P MILL CREEK</t>
  </si>
  <si>
    <t>P MOREHEAD 1</t>
  </si>
  <si>
    <t>P MOREHEAD 2</t>
  </si>
  <si>
    <t>P MOREHEAD 3</t>
  </si>
  <si>
    <t>P MOREHEAD 4</t>
  </si>
  <si>
    <t>P NEWPORT 1</t>
  </si>
  <si>
    <t>P NEWPORT 2</t>
  </si>
  <si>
    <t>P NORTH RIVER</t>
  </si>
  <si>
    <t>P OTWAY/STRAITS/BETTIE</t>
  </si>
  <si>
    <t>P PELETIER</t>
  </si>
  <si>
    <t>P PINE KNOLL SHORES</t>
  </si>
  <si>
    <t>P STELLA</t>
  </si>
  <si>
    <t>P WILDWOOD</t>
  </si>
  <si>
    <t>P WIREGRASS/HARLOWE</t>
  </si>
  <si>
    <t>P ANDERSON</t>
  </si>
  <si>
    <t>P LEASBURG</t>
  </si>
  <si>
    <t>P LOCUST HILL</t>
  </si>
  <si>
    <t>P MILTON</t>
  </si>
  <si>
    <t>P PELHAM</t>
  </si>
  <si>
    <t>P PROSPECT HILL</t>
  </si>
  <si>
    <t>P PROVIDENCE</t>
  </si>
  <si>
    <t>P STONEY CREEK</t>
  </si>
  <si>
    <t>P YANCEYVILLE</t>
  </si>
  <si>
    <t>P BALLS CREEK</t>
  </si>
  <si>
    <t>P BANOAK</t>
  </si>
  <si>
    <t>P BLACKBURN</t>
  </si>
  <si>
    <t>P BROOKFORD</t>
  </si>
  <si>
    <t>P CATAWBA</t>
  </si>
  <si>
    <t>P CLAREMONT</t>
  </si>
  <si>
    <t>P COLLEGE PARK</t>
  </si>
  <si>
    <t>P CONOVER EAST</t>
  </si>
  <si>
    <t>P CONOVER WEST</t>
  </si>
  <si>
    <t>P EAST MAIDEN</t>
  </si>
  <si>
    <t>P EAST NEWTON</t>
  </si>
  <si>
    <t>P FALLING CREEK</t>
  </si>
  <si>
    <t>P GREENMONT</t>
  </si>
  <si>
    <t>P HIGHLAND</t>
  </si>
  <si>
    <t>P KENWORTH</t>
  </si>
  <si>
    <t>P LAKE NORMAN</t>
  </si>
  <si>
    <t>P LONGVIEW NORTH</t>
  </si>
  <si>
    <t>P LONGVIEW SOUTH</t>
  </si>
  <si>
    <t>P MAIDEN</t>
  </si>
  <si>
    <t>P MONOGRAM</t>
  </si>
  <si>
    <t>P MOUNT OLIVE</t>
  </si>
  <si>
    <t>P MOUNTAIN VIEW #1</t>
  </si>
  <si>
    <t>P MOUNTAIN VIEW #2</t>
  </si>
  <si>
    <t>P NORTH NEWTON</t>
  </si>
  <si>
    <t>P NORTHWEST</t>
  </si>
  <si>
    <t>P OAKLAND HEIGHTS</t>
  </si>
  <si>
    <t>P OAKWOOD</t>
  </si>
  <si>
    <t>P OXFORD</t>
  </si>
  <si>
    <t>P RIDGEVIEW</t>
  </si>
  <si>
    <t>P SANDY RIDGE</t>
  </si>
  <si>
    <t>P SHERRILLS FORD</t>
  </si>
  <si>
    <t>P SOUTH NEWTON</t>
  </si>
  <si>
    <t>P SPRINGS</t>
  </si>
  <si>
    <t>P ST STEPHENS #1</t>
  </si>
  <si>
    <t>P ST STEPHENS #2</t>
  </si>
  <si>
    <t>P STARTOWN</t>
  </si>
  <si>
    <t>P SWEETWATER</t>
  </si>
  <si>
    <t>P VIEWMONT #1</t>
  </si>
  <si>
    <t>P VIEWMONT #2</t>
  </si>
  <si>
    <t>P WEST NEWTON</t>
  </si>
  <si>
    <t>P BENNETT</t>
  </si>
  <si>
    <t>P BONLEE</t>
  </si>
  <si>
    <t>P BYNUM</t>
  </si>
  <si>
    <t>P EAST SILER CITY</t>
  </si>
  <si>
    <t>P EAST WILLIAMS</t>
  </si>
  <si>
    <t>P GOLDSTON</t>
  </si>
  <si>
    <t>P HADLEY</t>
  </si>
  <si>
    <t>P HARPERS CROSSROADS</t>
  </si>
  <si>
    <t>P HICKORY MOUNTAIN</t>
  </si>
  <si>
    <t>P MANNS CHAPEL</t>
  </si>
  <si>
    <t>P NEW HOPE</t>
  </si>
  <si>
    <t>P NORTH WILLIAMS</t>
  </si>
  <si>
    <t>P OAKLAND</t>
  </si>
  <si>
    <t>P PITTSBORO</t>
  </si>
  <si>
    <t>P THREE RIVERS</t>
  </si>
  <si>
    <t>P WEST SILER CITY</t>
  </si>
  <si>
    <t>P WEST WILLIAMS</t>
  </si>
  <si>
    <t>P ANDREWS NORTH WARD</t>
  </si>
  <si>
    <t>P ANDREWS SOUTH WARD</t>
  </si>
  <si>
    <t>P BELLVIEW</t>
  </si>
  <si>
    <t>P BRASSTOWN</t>
  </si>
  <si>
    <t>P CULBERSON</t>
  </si>
  <si>
    <t>P GRAPE CREEK</t>
  </si>
  <si>
    <t>P HANGING DOG</t>
  </si>
  <si>
    <t>P HIWASSEE DAM</t>
  </si>
  <si>
    <t>P HOT HOUSE</t>
  </si>
  <si>
    <t>P MARBLE</t>
  </si>
  <si>
    <t>P MURPHY NORTH</t>
  </si>
  <si>
    <t>P MURPHY SOUTH</t>
  </si>
  <si>
    <t>P PEACHTREE</t>
  </si>
  <si>
    <t>P RANGER</t>
  </si>
  <si>
    <t>P TOPTON</t>
  </si>
  <si>
    <t>P UNAKA</t>
  </si>
  <si>
    <t>P CENTER HILL</t>
  </si>
  <si>
    <t>P EAST EDENTON</t>
  </si>
  <si>
    <t>P ROCKY HOCK</t>
  </si>
  <si>
    <t>P WARDVILLE</t>
  </si>
  <si>
    <t>P WEST EDENTON</t>
  </si>
  <si>
    <t>P YEOPIM</t>
  </si>
  <si>
    <t>P HAYESVILLE CENTRAL</t>
  </si>
  <si>
    <t>P HAYESVILLE ONE</t>
  </si>
  <si>
    <t>P HAYESVILLE TWO</t>
  </si>
  <si>
    <t>P HIAWASSEE</t>
  </si>
  <si>
    <t>P SHOOTING CREEK</t>
  </si>
  <si>
    <t>P TUSQUITTEE</t>
  </si>
  <si>
    <t>P WARNE</t>
  </si>
  <si>
    <t>P BETHWARE</t>
  </si>
  <si>
    <t>P BROAD RIVER</t>
  </si>
  <si>
    <t>P CASAR</t>
  </si>
  <si>
    <t>P FALLSTON</t>
  </si>
  <si>
    <t>P GROVER</t>
  </si>
  <si>
    <t>P KINGS MOUNTAIN NORTH</t>
  </si>
  <si>
    <t>P KINGS MOUNTAIN SOUTH</t>
  </si>
  <si>
    <t>P KINGSTOWN</t>
  </si>
  <si>
    <t>P LATTIMORE</t>
  </si>
  <si>
    <t>P LAWNDALE</t>
  </si>
  <si>
    <t>P MOORESBORO-YOUNG</t>
  </si>
  <si>
    <t>P MULLS</t>
  </si>
  <si>
    <t>P OAK GROVE</t>
  </si>
  <si>
    <t>P POLKVILLE</t>
  </si>
  <si>
    <t>P RIPPY</t>
  </si>
  <si>
    <t>P SHANGHAI</t>
  </si>
  <si>
    <t>P SHELBY #4</t>
  </si>
  <si>
    <t>P SHELBY #5</t>
  </si>
  <si>
    <t>P SHELBY CENTRAL</t>
  </si>
  <si>
    <t>P SHELBY SOUTH</t>
  </si>
  <si>
    <t>P WACO</t>
  </si>
  <si>
    <t>P BOLTON</t>
  </si>
  <si>
    <t>P BUG HILL 3</t>
  </si>
  <si>
    <t>P BUG HILL 1</t>
  </si>
  <si>
    <t>P BUG HILL 2</t>
  </si>
  <si>
    <t>P CERRO GORDO</t>
  </si>
  <si>
    <t>P CHADBOURN</t>
  </si>
  <si>
    <t>P CHERRY GROVE</t>
  </si>
  <si>
    <t>P EAST LEES</t>
  </si>
  <si>
    <t>P FAIR BLUFF</t>
  </si>
  <si>
    <t>P NORTH LEES</t>
  </si>
  <si>
    <t>P NORTH WHITEVILLE</t>
  </si>
  <si>
    <t>P RANSOM</t>
  </si>
  <si>
    <t>P SOUTH LEES</t>
  </si>
  <si>
    <t>P SOUTH WHITEVILLE</t>
  </si>
  <si>
    <t>P SOUTH WILLIAMS</t>
  </si>
  <si>
    <t>P TATUM</t>
  </si>
  <si>
    <t>P WELCHES CREEK</t>
  </si>
  <si>
    <t>P WEST LEES</t>
  </si>
  <si>
    <t>P WEST WHITEVILLE</t>
  </si>
  <si>
    <t>P WESTERN PRONG</t>
  </si>
  <si>
    <t>P WHITEVILLE 1</t>
  </si>
  <si>
    <t>P WHITEVILLE 2</t>
  </si>
  <si>
    <t>P WILLIAMS 1</t>
  </si>
  <si>
    <t>P WILLIAMS 2</t>
  </si>
  <si>
    <t>P BRICES CREEK</t>
  </si>
  <si>
    <t>P BRIDGETON</t>
  </si>
  <si>
    <t>P CLARKS</t>
  </si>
  <si>
    <t>P COVE CITY</t>
  </si>
  <si>
    <t>P CROATAN</t>
  </si>
  <si>
    <t>P DOVER</t>
  </si>
  <si>
    <t>P EPWORTH</t>
  </si>
  <si>
    <t>P ERNUL</t>
  </si>
  <si>
    <t>P FAIRFIELD HARBOUR</t>
  </si>
  <si>
    <t>P FORT BARNWELL</t>
  </si>
  <si>
    <t>P FORT TOTTEN</t>
  </si>
  <si>
    <t>P GEORGE STREET</t>
  </si>
  <si>
    <t>P GLENBURNIE PARK</t>
  </si>
  <si>
    <t>P GRANTHAM 1A</t>
  </si>
  <si>
    <t>P GRANTHAM 2B</t>
  </si>
  <si>
    <t>P GROVER C. FIELDS</t>
  </si>
  <si>
    <t>P H.J. MACDONALD</t>
  </si>
  <si>
    <t>P HARLOWE</t>
  </si>
  <si>
    <t>P HAVELOCK</t>
  </si>
  <si>
    <t>P JASPER</t>
  </si>
  <si>
    <t>P RHEMS</t>
  </si>
  <si>
    <t>P RIVER BEND</t>
  </si>
  <si>
    <t>P TRENT WOODS</t>
  </si>
  <si>
    <t>P TRUITT</t>
  </si>
  <si>
    <t>P VANCEBORO</t>
  </si>
  <si>
    <t>P WEST NEW BERN</t>
  </si>
  <si>
    <t>P ALDERMAN</t>
  </si>
  <si>
    <t>P ARRAN HILLS</t>
  </si>
  <si>
    <t>P AUMAN-1-G5</t>
  </si>
  <si>
    <t>P AUMAN-2-G5</t>
  </si>
  <si>
    <t>P BEAVER DAM-G6</t>
  </si>
  <si>
    <t>P BLACK RIVER-G7</t>
  </si>
  <si>
    <t>P BRENTWOOD-G5</t>
  </si>
  <si>
    <t>P CEDAR CREEK-G6</t>
  </si>
  <si>
    <t>P CLIFFDALE WEST-1-CL57</t>
  </si>
  <si>
    <t>P CLIFFDALE WEST-2-CL57</t>
  </si>
  <si>
    <t>P CROSS CREEK 01</t>
  </si>
  <si>
    <t>P CROSS CREEK 02-G1</t>
  </si>
  <si>
    <t>P CROSS CREEK 03</t>
  </si>
  <si>
    <t>P CROSS CREEK 04</t>
  </si>
  <si>
    <t>P CROSS CREEK 05</t>
  </si>
  <si>
    <t>P CROSS CREEK 06</t>
  </si>
  <si>
    <t>P CROSS CREEK 07</t>
  </si>
  <si>
    <t>P CROSS CREEK 08</t>
  </si>
  <si>
    <t>P CROSS CREEK 09-G2</t>
  </si>
  <si>
    <t>P CROSS CREEK 10</t>
  </si>
  <si>
    <t>P CROSS CREEK 11-G3</t>
  </si>
  <si>
    <t>P CROSS CREEK 12</t>
  </si>
  <si>
    <t>P CROSS CREEK 13</t>
  </si>
  <si>
    <t>P CROSS CREEK 14</t>
  </si>
  <si>
    <t>P CROSS CREEK 15</t>
  </si>
  <si>
    <t>P CROSS CREEK 16</t>
  </si>
  <si>
    <t>P CROSS CREEK 17</t>
  </si>
  <si>
    <t>P CROSS CREEK 18</t>
  </si>
  <si>
    <t>P CROSS CREEK 19</t>
  </si>
  <si>
    <t>P CROSS CREEK 20-G4</t>
  </si>
  <si>
    <t>P CROSS CREEK 21</t>
  </si>
  <si>
    <t>P CROSS CREEK 22-G2</t>
  </si>
  <si>
    <t>P CROSS CREEK 23-1-G2</t>
  </si>
  <si>
    <t>P CROSS CREEK 23-2-G2</t>
  </si>
  <si>
    <t>P CROSS CREEK 24</t>
  </si>
  <si>
    <t>P CROSS CREEK 25</t>
  </si>
  <si>
    <t>P CROSS CREEK 26</t>
  </si>
  <si>
    <t>P CROSS CREEK 27</t>
  </si>
  <si>
    <t>P CROSS CREEK 28-1-G5</t>
  </si>
  <si>
    <t>P CROSS CREEK 28-2-G5</t>
  </si>
  <si>
    <t>P CROSS CREEK 29</t>
  </si>
  <si>
    <t>P CROSS CREEK 30-G4</t>
  </si>
  <si>
    <t>P CROSS CREEK 31</t>
  </si>
  <si>
    <t>P CROSS CREEK 32</t>
  </si>
  <si>
    <t>P CROSS CREEK 33</t>
  </si>
  <si>
    <t>P CROSS CREEK 34</t>
  </si>
  <si>
    <t>P CUMBERLAND 1A-G8</t>
  </si>
  <si>
    <t>P CUMBERLAND 2</t>
  </si>
  <si>
    <t>P CUMBERLAND 3-G8</t>
  </si>
  <si>
    <t>P CUMBERLAND 4-G8</t>
  </si>
  <si>
    <t>P EASTOVER 1</t>
  </si>
  <si>
    <t>P EASTOVER 2</t>
  </si>
  <si>
    <t>P HOPE MILLS 1A-G8</t>
  </si>
  <si>
    <t>P HOPE MILLS 2A-G9</t>
  </si>
  <si>
    <t>P HOPE MILLS 2B-G9</t>
  </si>
  <si>
    <t>P HOPE MILLS 3-G9</t>
  </si>
  <si>
    <t>P HOPE MILLS 4-G10</t>
  </si>
  <si>
    <t>P JUDSON-VANDER-G1</t>
  </si>
  <si>
    <t>P LAKE RIM</t>
  </si>
  <si>
    <t>P LINDEN</t>
  </si>
  <si>
    <t>P LONGHILL-G2</t>
  </si>
  <si>
    <t>P MANCHESTER-G11</t>
  </si>
  <si>
    <t>P MONTIBELLO</t>
  </si>
  <si>
    <t>P MORGANTON RD 2</t>
  </si>
  <si>
    <t>P PEARCES MILL 2A-G3</t>
  </si>
  <si>
    <t>P PEARCES MILL 2B-G3</t>
  </si>
  <si>
    <t>P PEARCES MILL 3-G3</t>
  </si>
  <si>
    <t>P PEARCES MILL 4-G4</t>
  </si>
  <si>
    <t>P SHERWOOD</t>
  </si>
  <si>
    <t>P SPRING LAKE-1-G11</t>
  </si>
  <si>
    <t>P SPRING LAKE-2-G11</t>
  </si>
  <si>
    <t>P STEDMAN-G6</t>
  </si>
  <si>
    <t>P STONEY POINT 1-G10</t>
  </si>
  <si>
    <t>P STONEY POINT 2-G10</t>
  </si>
  <si>
    <t>P WADE-G7</t>
  </si>
  <si>
    <t>P WESTAREA-1-G2</t>
  </si>
  <si>
    <t>P WESTAREA-2-G2</t>
  </si>
  <si>
    <t>P CAROVA BEACH</t>
  </si>
  <si>
    <t>P CHURCHS ISLAND</t>
  </si>
  <si>
    <t>P COINJOCK</t>
  </si>
  <si>
    <t>P GIBBS WOODS</t>
  </si>
  <si>
    <t>P INDIAN RIDGE</t>
  </si>
  <si>
    <t>P KNOTTS ISLAND</t>
  </si>
  <si>
    <t>P MOYOCK</t>
  </si>
  <si>
    <t>P POPLAR BRANCH</t>
  </si>
  <si>
    <t>P POWELLS POINT</t>
  </si>
  <si>
    <t>P WHALEHEAD</t>
  </si>
  <si>
    <t>P AVON</t>
  </si>
  <si>
    <t>P BUXTON</t>
  </si>
  <si>
    <t>P CHICAMACOMICO</t>
  </si>
  <si>
    <t>P COLINGTON</t>
  </si>
  <si>
    <t>P DUCK</t>
  </si>
  <si>
    <t>P EAST LAKE</t>
  </si>
  <si>
    <t>P FRISCO</t>
  </si>
  <si>
    <t>P HATTERAS</t>
  </si>
  <si>
    <t>P KILL DEVIL HILLS</t>
  </si>
  <si>
    <t>P KITTY HAWK</t>
  </si>
  <si>
    <t>P MANNS HARBOR</t>
  </si>
  <si>
    <t>P MANTEO</t>
  </si>
  <si>
    <t>P NAGS HEAD</t>
  </si>
  <si>
    <t>P SOUTHERN SHORES</t>
  </si>
  <si>
    <t>P STUMPY POINT</t>
  </si>
  <si>
    <t>P WANCHESE</t>
  </si>
  <si>
    <t>P ABBOTTS CREEK 1 #86A</t>
  </si>
  <si>
    <t>P ABBOTTS CREEK 2 #88</t>
  </si>
  <si>
    <t>P ARCADIA #04</t>
  </si>
  <si>
    <t>P BOONE #06</t>
  </si>
  <si>
    <t>P CENTRAL #08</t>
  </si>
  <si>
    <t>P COTTON GROVE #10</t>
  </si>
  <si>
    <t>P DENTON #12</t>
  </si>
  <si>
    <t>P DUNBAR #30</t>
  </si>
  <si>
    <t>P EASTSIDE #38</t>
  </si>
  <si>
    <t>P EMMONS # 14</t>
  </si>
  <si>
    <t>P GRIMES #36</t>
  </si>
  <si>
    <t>P GUMTREE # 16</t>
  </si>
  <si>
    <t>P HEALING SPRINGS #18</t>
  </si>
  <si>
    <t>P HOLLY GROVE #20</t>
  </si>
  <si>
    <t>P LEXINGTON 1 #22</t>
  </si>
  <si>
    <t>P LEXINGTON 2 #24</t>
  </si>
  <si>
    <t>P LEXINGTON 3 #26</t>
  </si>
  <si>
    <t>P LEXINGTON 4 #28</t>
  </si>
  <si>
    <t>P LIBERTY #42</t>
  </si>
  <si>
    <t>P MIDWAY #44</t>
  </si>
  <si>
    <t>P MUNICIPAL #40</t>
  </si>
  <si>
    <t>P NORTH DAVIDSON # 46</t>
  </si>
  <si>
    <t>P REEDS/YADKIN COLLEGE #48</t>
  </si>
  <si>
    <t>P REEDY CREEK #50</t>
  </si>
  <si>
    <t>P ROBBINS #32</t>
  </si>
  <si>
    <t>P SILVER HILL #52</t>
  </si>
  <si>
    <t>P SILVER VALLEY #54</t>
  </si>
  <si>
    <t>P SOUTH DAVIDSON #56</t>
  </si>
  <si>
    <t>P SOUTHMONT #58</t>
  </si>
  <si>
    <t>P THOMASVILLE 1 #60</t>
  </si>
  <si>
    <t>P THOMASVILLE 10 #76</t>
  </si>
  <si>
    <t>P THOMASVILLE 2 #62</t>
  </si>
  <si>
    <t>P THOMASVILLE 3 #64</t>
  </si>
  <si>
    <t>P THOMASVILLE 4 #66</t>
  </si>
  <si>
    <t>P THOMASVILLE 5 #68</t>
  </si>
  <si>
    <t>P THOMASVILLE 7 #70</t>
  </si>
  <si>
    <t>P THOMASVILLE 8 #72</t>
  </si>
  <si>
    <t>P THOMASVILLE 9 #74</t>
  </si>
  <si>
    <t>P TYRO #78</t>
  </si>
  <si>
    <t>P WALLBURG #80A</t>
  </si>
  <si>
    <t>P WELCOME #82</t>
  </si>
  <si>
    <t>P WESLEY HEIGHTS #34</t>
  </si>
  <si>
    <t>P WEST ARCADIA #84</t>
  </si>
  <si>
    <t>P CLARKSVILLE</t>
  </si>
  <si>
    <t>P COOLEEMEE</t>
  </si>
  <si>
    <t>P EAST SHADY GROVE</t>
  </si>
  <si>
    <t>P FARMINGTON</t>
  </si>
  <si>
    <t>P FULTON</t>
  </si>
  <si>
    <t>P HILLSDALE</t>
  </si>
  <si>
    <t>P JERUSALEM</t>
  </si>
  <si>
    <t>P NORTH CALAHALN</t>
  </si>
  <si>
    <t>P NORTH MOCKS-CITY</t>
  </si>
  <si>
    <t>P NORTH MOCKS-COUNTY</t>
  </si>
  <si>
    <t>P SMITH GROVE</t>
  </si>
  <si>
    <t>P SOUTH CALAHALN</t>
  </si>
  <si>
    <t>P SOUTH MOCKSVILLE</t>
  </si>
  <si>
    <t>P WEST SHADY GROVE</t>
  </si>
  <si>
    <t>P ALBERTSON</t>
  </si>
  <si>
    <t>P BEULAVILLE</t>
  </si>
  <si>
    <t>P CALYPSO</t>
  </si>
  <si>
    <t>P CEDAR FORK</t>
  </si>
  <si>
    <t>P CHARITY</t>
  </si>
  <si>
    <t>P CHINQUAPIN</t>
  </si>
  <si>
    <t>P FAISON</t>
  </si>
  <si>
    <t>P GLISSON</t>
  </si>
  <si>
    <t>P HALLSVILLE</t>
  </si>
  <si>
    <t>P KENANSVILLE</t>
  </si>
  <si>
    <t>P LOCKLIN</t>
  </si>
  <si>
    <t>P MAGNOLIA</t>
  </si>
  <si>
    <t>P ROCKFISH</t>
  </si>
  <si>
    <t>P ROSE HILL</t>
  </si>
  <si>
    <t>P SMITH/CABIN</t>
  </si>
  <si>
    <t>P WALLACE</t>
  </si>
  <si>
    <t>P WARSAW</t>
  </si>
  <si>
    <t>P WOLFSCRAPE</t>
  </si>
  <si>
    <t>P 01</t>
  </si>
  <si>
    <t>P 02</t>
  </si>
  <si>
    <t>P 03</t>
  </si>
  <si>
    <t>P 04</t>
  </si>
  <si>
    <t>P 05</t>
  </si>
  <si>
    <t>P 06</t>
  </si>
  <si>
    <t>P 07</t>
  </si>
  <si>
    <t>P 08</t>
  </si>
  <si>
    <t>P 09</t>
  </si>
  <si>
    <t>P 10</t>
  </si>
  <si>
    <t>P 12</t>
  </si>
  <si>
    <t>P 13</t>
  </si>
  <si>
    <t>P 14</t>
  </si>
  <si>
    <t>P 15</t>
  </si>
  <si>
    <t>P 16</t>
  </si>
  <si>
    <t>P 17</t>
  </si>
  <si>
    <t>P 18</t>
  </si>
  <si>
    <t>P 19</t>
  </si>
  <si>
    <t>P 20</t>
  </si>
  <si>
    <t>P 21</t>
  </si>
  <si>
    <t>P 22</t>
  </si>
  <si>
    <t>P 23</t>
  </si>
  <si>
    <t>P 24</t>
  </si>
  <si>
    <t>P 25</t>
  </si>
  <si>
    <t>P 26</t>
  </si>
  <si>
    <t>P 27</t>
  </si>
  <si>
    <t>P 28</t>
  </si>
  <si>
    <t>P 29</t>
  </si>
  <si>
    <t>P 30-1</t>
  </si>
  <si>
    <t>P 30-2</t>
  </si>
  <si>
    <t>P 31</t>
  </si>
  <si>
    <t>P 32</t>
  </si>
  <si>
    <t>P 33</t>
  </si>
  <si>
    <t>P 34-1</t>
  </si>
  <si>
    <t>P 34-2</t>
  </si>
  <si>
    <t>P 35.3</t>
  </si>
  <si>
    <t>P 36</t>
  </si>
  <si>
    <t>P 37</t>
  </si>
  <si>
    <t>P 38</t>
  </si>
  <si>
    <t>P 39</t>
  </si>
  <si>
    <t>P 40</t>
  </si>
  <si>
    <t>P 41</t>
  </si>
  <si>
    <t>P 42</t>
  </si>
  <si>
    <t>P 43</t>
  </si>
  <si>
    <t>P 44</t>
  </si>
  <si>
    <t>P 45</t>
  </si>
  <si>
    <t>P 46</t>
  </si>
  <si>
    <t>P 47</t>
  </si>
  <si>
    <t>P 48</t>
  </si>
  <si>
    <t>P 50</t>
  </si>
  <si>
    <t>P 51</t>
  </si>
  <si>
    <t>P 52</t>
  </si>
  <si>
    <t>P 53-1</t>
  </si>
  <si>
    <t>P 53-2</t>
  </si>
  <si>
    <t>P 54</t>
  </si>
  <si>
    <t>P 55-11</t>
  </si>
  <si>
    <t>P 55-49</t>
  </si>
  <si>
    <t>P BATTLEBORO</t>
  </si>
  <si>
    <t>P CONETOE</t>
  </si>
  <si>
    <t>P LAWRENCE</t>
  </si>
  <si>
    <t>P LEGGETT</t>
  </si>
  <si>
    <t>P LEWIS</t>
  </si>
  <si>
    <t>P MACCLESFIELD</t>
  </si>
  <si>
    <t>P OLD SPARTA</t>
  </si>
  <si>
    <t>P PINETOPS</t>
  </si>
  <si>
    <t>P ROCKY MOUNT 1</t>
  </si>
  <si>
    <t>P ROCKY MOUNT 2</t>
  </si>
  <si>
    <t>P ROCKY MOUNT 4</t>
  </si>
  <si>
    <t>P ROCKY MOUNT 5</t>
  </si>
  <si>
    <t>P SHARPSBURG</t>
  </si>
  <si>
    <t>P SPEED</t>
  </si>
  <si>
    <t>P TARBORO 1</t>
  </si>
  <si>
    <t>P TARBORO 2</t>
  </si>
  <si>
    <t>P TARBORO 3</t>
  </si>
  <si>
    <t>P TARBORO 4</t>
  </si>
  <si>
    <t>P TEMPERANCE HALL</t>
  </si>
  <si>
    <t>P WEST EDGECOMBE</t>
  </si>
  <si>
    <t>P WHITAKERS</t>
  </si>
  <si>
    <t>P 011</t>
  </si>
  <si>
    <t>P 012</t>
  </si>
  <si>
    <t>P 013</t>
  </si>
  <si>
    <t>P 014</t>
  </si>
  <si>
    <t>P 015</t>
  </si>
  <si>
    <t>P 021</t>
  </si>
  <si>
    <t>P 031</t>
  </si>
  <si>
    <t>P 032</t>
  </si>
  <si>
    <t>P 033</t>
  </si>
  <si>
    <t>P 034</t>
  </si>
  <si>
    <t>P 042</t>
  </si>
  <si>
    <t>P 043</t>
  </si>
  <si>
    <t>P 051</t>
  </si>
  <si>
    <t>P 052</t>
  </si>
  <si>
    <t>P 053</t>
  </si>
  <si>
    <t>P 054</t>
  </si>
  <si>
    <t>P 055</t>
  </si>
  <si>
    <t>P 061</t>
  </si>
  <si>
    <t>P 062</t>
  </si>
  <si>
    <t>P 063</t>
  </si>
  <si>
    <t>P 064</t>
  </si>
  <si>
    <t>P 065</t>
  </si>
  <si>
    <t>P 066</t>
  </si>
  <si>
    <t>P 067</t>
  </si>
  <si>
    <t>P 068</t>
  </si>
  <si>
    <t>P 071</t>
  </si>
  <si>
    <t>P 072</t>
  </si>
  <si>
    <t>P 073</t>
  </si>
  <si>
    <t>P 074</t>
  </si>
  <si>
    <t>P 075</t>
  </si>
  <si>
    <t>P 081</t>
  </si>
  <si>
    <t>P 082</t>
  </si>
  <si>
    <t>P 083</t>
  </si>
  <si>
    <t>P 091</t>
  </si>
  <si>
    <t>P 092</t>
  </si>
  <si>
    <t>P 101</t>
  </si>
  <si>
    <t>P 111</t>
  </si>
  <si>
    <t>P 112</t>
  </si>
  <si>
    <t>P 122</t>
  </si>
  <si>
    <t>P 123</t>
  </si>
  <si>
    <t>P 131</t>
  </si>
  <si>
    <t>P 132</t>
  </si>
  <si>
    <t>P 133</t>
  </si>
  <si>
    <t>P 201</t>
  </si>
  <si>
    <t>P 203</t>
  </si>
  <si>
    <t>P 204</t>
  </si>
  <si>
    <t>P 205</t>
  </si>
  <si>
    <t>P 206</t>
  </si>
  <si>
    <t>P 207</t>
  </si>
  <si>
    <t>P 301</t>
  </si>
  <si>
    <t>P 302</t>
  </si>
  <si>
    <t>P 303</t>
  </si>
  <si>
    <t>P 304</t>
  </si>
  <si>
    <t>P 305</t>
  </si>
  <si>
    <t>P 306</t>
  </si>
  <si>
    <t>P 401</t>
  </si>
  <si>
    <t>P 402</t>
  </si>
  <si>
    <t>P 403</t>
  </si>
  <si>
    <t>P 404</t>
  </si>
  <si>
    <t>P 405</t>
  </si>
  <si>
    <t>P 501</t>
  </si>
  <si>
    <t>P 502</t>
  </si>
  <si>
    <t>P 503</t>
  </si>
  <si>
    <t>P 504</t>
  </si>
  <si>
    <t>P 505</t>
  </si>
  <si>
    <t>P 506</t>
  </si>
  <si>
    <t>P 507</t>
  </si>
  <si>
    <t>P 601</t>
  </si>
  <si>
    <t>P 602</t>
  </si>
  <si>
    <t>P 603</t>
  </si>
  <si>
    <t>P 604</t>
  </si>
  <si>
    <t>P 605</t>
  </si>
  <si>
    <t>P 606</t>
  </si>
  <si>
    <t>P 607</t>
  </si>
  <si>
    <t>P 701</t>
  </si>
  <si>
    <t>P 702</t>
  </si>
  <si>
    <t>P 703</t>
  </si>
  <si>
    <t>P 704</t>
  </si>
  <si>
    <t>P 705</t>
  </si>
  <si>
    <t>P 706</t>
  </si>
  <si>
    <t>P 707</t>
  </si>
  <si>
    <t>P 708</t>
  </si>
  <si>
    <t>P 709</t>
  </si>
  <si>
    <t>P 801</t>
  </si>
  <si>
    <t>P 802</t>
  </si>
  <si>
    <t>P 803</t>
  </si>
  <si>
    <t>P 804</t>
  </si>
  <si>
    <t>P 805</t>
  </si>
  <si>
    <t>P 806</t>
  </si>
  <si>
    <t>P 807</t>
  </si>
  <si>
    <t>P 808</t>
  </si>
  <si>
    <t>P 809</t>
  </si>
  <si>
    <t>P 901</t>
  </si>
  <si>
    <t>P 902</t>
  </si>
  <si>
    <t>P 903</t>
  </si>
  <si>
    <t>P 904</t>
  </si>
  <si>
    <t>P 905</t>
  </si>
  <si>
    <t>P 906</t>
  </si>
  <si>
    <t>P 907</t>
  </si>
  <si>
    <t>P 908</t>
  </si>
  <si>
    <t>P 909</t>
  </si>
  <si>
    <t>P BUNN</t>
  </si>
  <si>
    <t>P CEDAR ROCK</t>
  </si>
  <si>
    <t>P EAST LOUISBURG COUNTRY</t>
  </si>
  <si>
    <t>P EAST FRANKLINTON</t>
  </si>
  <si>
    <t>P EAST HARRIS</t>
  </si>
  <si>
    <t>P EAST YOUNGSVILLE</t>
  </si>
  <si>
    <t>P GOLD MINE</t>
  </si>
  <si>
    <t>P HAYESVILLE</t>
  </si>
  <si>
    <t>P LOUISBURG CITY</t>
  </si>
  <si>
    <t>P PEARCES</t>
  </si>
  <si>
    <t>P PILOT</t>
  </si>
  <si>
    <t>P SANDY CREEK</t>
  </si>
  <si>
    <t>P WEST FRANKLINTON</t>
  </si>
  <si>
    <t>P WEST HARRIS</t>
  </si>
  <si>
    <t>P WEST LOUISBURG COUNTRY</t>
  </si>
  <si>
    <t>P WEST YOUNGSVILLE 1</t>
  </si>
  <si>
    <t>P WEST YOUNGSVILLE 2</t>
  </si>
  <si>
    <t>P ALEXIS</t>
  </si>
  <si>
    <t>P ARMSTRONG</t>
  </si>
  <si>
    <t>P ASHBROOK</t>
  </si>
  <si>
    <t>P BELMONT #1</t>
  </si>
  <si>
    <t>P BELMONT #2</t>
  </si>
  <si>
    <t>P BELMONT #3</t>
  </si>
  <si>
    <t>P BESSEMER CITY #1</t>
  </si>
  <si>
    <t>P BESSEMER CITY #2</t>
  </si>
  <si>
    <t>P CATAWBA HEIGHTS</t>
  </si>
  <si>
    <t>P CHERRYVILLE #1</t>
  </si>
  <si>
    <t>P CHERRYVILLE #2</t>
  </si>
  <si>
    <t>P CHERRYVILLE #3</t>
  </si>
  <si>
    <t>P CRAMERTON</t>
  </si>
  <si>
    <t>P CROWDERS MOUNTAIN</t>
  </si>
  <si>
    <t>P DALLAS #1</t>
  </si>
  <si>
    <t>P DALLAS #2</t>
  </si>
  <si>
    <t>P FLINT GROVES</t>
  </si>
  <si>
    <t>P FOREST HEIGHTS</t>
  </si>
  <si>
    <t>P GARDNER PARK</t>
  </si>
  <si>
    <t>P GASTON DAY</t>
  </si>
  <si>
    <t>P GRIER</t>
  </si>
  <si>
    <t>P HEALTH CENTER</t>
  </si>
  <si>
    <t>P HIGH SHOALS</t>
  </si>
  <si>
    <t>P LANDERS CHAPEL</t>
  </si>
  <si>
    <t>P LOWELL</t>
  </si>
  <si>
    <t>P LUCIA</t>
  </si>
  <si>
    <t>P MCADENVILLE</t>
  </si>
  <si>
    <t>P MOUNT HOLLY #1</t>
  </si>
  <si>
    <t>P MOUNT HOLLY #2</t>
  </si>
  <si>
    <t>P MYRTLE</t>
  </si>
  <si>
    <t>P PLEASANT RIDGE</t>
  </si>
  <si>
    <t>P RANLO</t>
  </si>
  <si>
    <t>P ROBINSON #1</t>
  </si>
  <si>
    <t>P ROBINSON #2</t>
  </si>
  <si>
    <t>P SOUTH GASTONIA</t>
  </si>
  <si>
    <t>P SOUTH POINT</t>
  </si>
  <si>
    <t>P STANLEY #1</t>
  </si>
  <si>
    <t>P STANLEY #2</t>
  </si>
  <si>
    <t>P TRYON</t>
  </si>
  <si>
    <t>P UNION</t>
  </si>
  <si>
    <t>P VICTORY</t>
  </si>
  <si>
    <t>P WOODHILL</t>
  </si>
  <si>
    <t>P YORK CHESTER</t>
  </si>
  <si>
    <t>P PRECINCT #1</t>
  </si>
  <si>
    <t>P PRECINCT #2</t>
  </si>
  <si>
    <t>P PRECINCT #3</t>
  </si>
  <si>
    <t>P PRECINCT #4 NORTH</t>
  </si>
  <si>
    <t>P PRECINCT #4 SOUTH</t>
  </si>
  <si>
    <t>P PRECINCT #5</t>
  </si>
  <si>
    <t>P EAST WARD</t>
  </si>
  <si>
    <t>P STECOAH</t>
  </si>
  <si>
    <t>P TAPOCO</t>
  </si>
  <si>
    <t>P WEST WARD</t>
  </si>
  <si>
    <t>P ANTIOCH</t>
  </si>
  <si>
    <t>P BEREA</t>
  </si>
  <si>
    <t>P BUTNER</t>
  </si>
  <si>
    <t>P CORINTH</t>
  </si>
  <si>
    <t>P CREDLE</t>
  </si>
  <si>
    <t>P CREEDMOOR</t>
  </si>
  <si>
    <t>P EAST OXFORD</t>
  </si>
  <si>
    <t>P MT ENERGY</t>
  </si>
  <si>
    <t>P OAK HILL</t>
  </si>
  <si>
    <t>P SASSAFRAS FORK</t>
  </si>
  <si>
    <t>P SOUTH OXFORD</t>
  </si>
  <si>
    <t>P TALLY HO</t>
  </si>
  <si>
    <t>P WEST OXFORD ELEM.</t>
  </si>
  <si>
    <t>P WILTON</t>
  </si>
  <si>
    <t>P ARBA</t>
  </si>
  <si>
    <t>P BEAR GARDEN</t>
  </si>
  <si>
    <t>P BULL HEAD</t>
  </si>
  <si>
    <t>P CASTORIA</t>
  </si>
  <si>
    <t>P HOOKERTON</t>
  </si>
  <si>
    <t>P MAURY</t>
  </si>
  <si>
    <t>P SHINE</t>
  </si>
  <si>
    <t>P SNOW HILL 1</t>
  </si>
  <si>
    <t>P SUGG</t>
  </si>
  <si>
    <t>P WALSTONBURG</t>
  </si>
  <si>
    <t>P CG1</t>
  </si>
  <si>
    <t>P CG2</t>
  </si>
  <si>
    <t>P CG3A</t>
  </si>
  <si>
    <t>P CG3B</t>
  </si>
  <si>
    <t>P FEN1</t>
  </si>
  <si>
    <t>P FEN2</t>
  </si>
  <si>
    <t>P FR1</t>
  </si>
  <si>
    <t>P FR2</t>
  </si>
  <si>
    <t>P FR3</t>
  </si>
  <si>
    <t>P FR4</t>
  </si>
  <si>
    <t>P FR5A</t>
  </si>
  <si>
    <t>P FR5B</t>
  </si>
  <si>
    <t>P G01</t>
  </si>
  <si>
    <t>P G02</t>
  </si>
  <si>
    <t>P G03</t>
  </si>
  <si>
    <t>P G04</t>
  </si>
  <si>
    <t>P G05</t>
  </si>
  <si>
    <t>P G06</t>
  </si>
  <si>
    <t>P G07</t>
  </si>
  <si>
    <t>P G08</t>
  </si>
  <si>
    <t>P G09</t>
  </si>
  <si>
    <t>P G10</t>
  </si>
  <si>
    <t>P G11</t>
  </si>
  <si>
    <t>P G12</t>
  </si>
  <si>
    <t>P G13</t>
  </si>
  <si>
    <t>P G14</t>
  </si>
  <si>
    <t>P G15</t>
  </si>
  <si>
    <t>P G16</t>
  </si>
  <si>
    <t>P G17</t>
  </si>
  <si>
    <t>P G18</t>
  </si>
  <si>
    <t>P G19</t>
  </si>
  <si>
    <t>P G20</t>
  </si>
  <si>
    <t>P G21</t>
  </si>
  <si>
    <t>P G22</t>
  </si>
  <si>
    <t>P G23</t>
  </si>
  <si>
    <t>P G24</t>
  </si>
  <si>
    <t>P G25</t>
  </si>
  <si>
    <t>P G26</t>
  </si>
  <si>
    <t>P G27</t>
  </si>
  <si>
    <t>P G28</t>
  </si>
  <si>
    <t>P G29</t>
  </si>
  <si>
    <t>P G30</t>
  </si>
  <si>
    <t>P G31</t>
  </si>
  <si>
    <t>P G32</t>
  </si>
  <si>
    <t>P G33</t>
  </si>
  <si>
    <t>P G34</t>
  </si>
  <si>
    <t>P G35</t>
  </si>
  <si>
    <t>P G36</t>
  </si>
  <si>
    <t>P G37</t>
  </si>
  <si>
    <t>P G38</t>
  </si>
  <si>
    <t>P G39</t>
  </si>
  <si>
    <t>P G40A1</t>
  </si>
  <si>
    <t>P G40A2</t>
  </si>
  <si>
    <t>P G40B</t>
  </si>
  <si>
    <t>P G41A</t>
  </si>
  <si>
    <t>P G41B</t>
  </si>
  <si>
    <t>P G42A</t>
  </si>
  <si>
    <t>P G42B</t>
  </si>
  <si>
    <t>P G43</t>
  </si>
  <si>
    <t>P G44</t>
  </si>
  <si>
    <t>P G45</t>
  </si>
  <si>
    <t>P G46</t>
  </si>
  <si>
    <t>P G47</t>
  </si>
  <si>
    <t>P G48</t>
  </si>
  <si>
    <t>P G49</t>
  </si>
  <si>
    <t>P G50</t>
  </si>
  <si>
    <t>P G51</t>
  </si>
  <si>
    <t>P G52</t>
  </si>
  <si>
    <t>P G53</t>
  </si>
  <si>
    <t>P G54</t>
  </si>
  <si>
    <t>P G55</t>
  </si>
  <si>
    <t>P G56</t>
  </si>
  <si>
    <t>P G57</t>
  </si>
  <si>
    <t>P G58</t>
  </si>
  <si>
    <t>P G59</t>
  </si>
  <si>
    <t>P G60</t>
  </si>
  <si>
    <t>P G61</t>
  </si>
  <si>
    <t>P G62</t>
  </si>
  <si>
    <t>P G63</t>
  </si>
  <si>
    <t>P G64</t>
  </si>
  <si>
    <t>P G65</t>
  </si>
  <si>
    <t>P G66</t>
  </si>
  <si>
    <t>P G67</t>
  </si>
  <si>
    <t>P G68</t>
  </si>
  <si>
    <t>P G69</t>
  </si>
  <si>
    <t>P G70</t>
  </si>
  <si>
    <t>P G71</t>
  </si>
  <si>
    <t>P G72</t>
  </si>
  <si>
    <t>P G73</t>
  </si>
  <si>
    <t>P G74</t>
  </si>
  <si>
    <t>P G75</t>
  </si>
  <si>
    <t>P GIB</t>
  </si>
  <si>
    <t>P GR</t>
  </si>
  <si>
    <t>P H01</t>
  </si>
  <si>
    <t>P H02</t>
  </si>
  <si>
    <t>P H03</t>
  </si>
  <si>
    <t>P H04</t>
  </si>
  <si>
    <t>P H05</t>
  </si>
  <si>
    <t>P H06</t>
  </si>
  <si>
    <t>P H07</t>
  </si>
  <si>
    <t>P H08</t>
  </si>
  <si>
    <t>P H09</t>
  </si>
  <si>
    <t>P H10</t>
  </si>
  <si>
    <t>P H11</t>
  </si>
  <si>
    <t>P H12</t>
  </si>
  <si>
    <t>P H13</t>
  </si>
  <si>
    <t>P H14</t>
  </si>
  <si>
    <t>P H15</t>
  </si>
  <si>
    <t>P H16</t>
  </si>
  <si>
    <t>P H17</t>
  </si>
  <si>
    <t>P H18</t>
  </si>
  <si>
    <t>P H19A</t>
  </si>
  <si>
    <t>P H19B</t>
  </si>
  <si>
    <t>P H20A</t>
  </si>
  <si>
    <t>P H20B</t>
  </si>
  <si>
    <t>P H21</t>
  </si>
  <si>
    <t>P H22</t>
  </si>
  <si>
    <t>P H23</t>
  </si>
  <si>
    <t>P H24</t>
  </si>
  <si>
    <t>P H25</t>
  </si>
  <si>
    <t>P H26</t>
  </si>
  <si>
    <t>P H27-A</t>
  </si>
  <si>
    <t>P H27-B</t>
  </si>
  <si>
    <t>P H28</t>
  </si>
  <si>
    <t>P H29A</t>
  </si>
  <si>
    <t>P H29B</t>
  </si>
  <si>
    <t>P JAM1</t>
  </si>
  <si>
    <t>P JAM2</t>
  </si>
  <si>
    <t>P JAM3</t>
  </si>
  <si>
    <t>P JAM4</t>
  </si>
  <si>
    <t>P JAM5</t>
  </si>
  <si>
    <t>P JEF1</t>
  </si>
  <si>
    <t>P JEF2</t>
  </si>
  <si>
    <t>P JEF3</t>
  </si>
  <si>
    <t>P JEF4</t>
  </si>
  <si>
    <t>P MON1</t>
  </si>
  <si>
    <t>P MON2A</t>
  </si>
  <si>
    <t>P MON2B</t>
  </si>
  <si>
    <t>P MON3</t>
  </si>
  <si>
    <t>P NCGR1</t>
  </si>
  <si>
    <t>P NCGR2</t>
  </si>
  <si>
    <t>P NCLAY1</t>
  </si>
  <si>
    <t>P NCLAY2</t>
  </si>
  <si>
    <t>P NDRI</t>
  </si>
  <si>
    <t>P NMAD</t>
  </si>
  <si>
    <t>P NWASH</t>
  </si>
  <si>
    <t>P OR1</t>
  </si>
  <si>
    <t>P OR2</t>
  </si>
  <si>
    <t>P PG1</t>
  </si>
  <si>
    <t>P PG2</t>
  </si>
  <si>
    <t>P RC1</t>
  </si>
  <si>
    <t>P RC2</t>
  </si>
  <si>
    <t>P SCLAY</t>
  </si>
  <si>
    <t>P SDRI</t>
  </si>
  <si>
    <t>P SF1</t>
  </si>
  <si>
    <t>P SF2</t>
  </si>
  <si>
    <t>P SF3</t>
  </si>
  <si>
    <t>P SF4</t>
  </si>
  <si>
    <t>P SMAD</t>
  </si>
  <si>
    <t>P STOK</t>
  </si>
  <si>
    <t>P SUM1</t>
  </si>
  <si>
    <t>P SUM2</t>
  </si>
  <si>
    <t>P SUM3</t>
  </si>
  <si>
    <t>P SUM4</t>
  </si>
  <si>
    <t>P SWASH</t>
  </si>
  <si>
    <t>P BUTTERWOOD</t>
  </si>
  <si>
    <t>P CONOCONNARA</t>
  </si>
  <si>
    <t>P ENFIELD 1</t>
  </si>
  <si>
    <t>P ENFIELD 2</t>
  </si>
  <si>
    <t>P FAUCETT</t>
  </si>
  <si>
    <t>P HALIFAX</t>
  </si>
  <si>
    <t>P HOBGOOD</t>
  </si>
  <si>
    <t>P HOLLISTER</t>
  </si>
  <si>
    <t>P LITTLETON 1</t>
  </si>
  <si>
    <t>P LITTLETON 2</t>
  </si>
  <si>
    <t>P RINGWOOD</t>
  </si>
  <si>
    <t>P ROANOKE RAPIDS 1-2</t>
  </si>
  <si>
    <t>P ROANOKE RAPIDS 10</t>
  </si>
  <si>
    <t>P ROANOKE RAPIDS 11</t>
  </si>
  <si>
    <t>P ROANOKE RAPIDS 3</t>
  </si>
  <si>
    <t>P ROANOKE RAPIDS 4</t>
  </si>
  <si>
    <t>P ROANOKE RAPIDS 5</t>
  </si>
  <si>
    <t>P ROANOKE RAPIDS 7</t>
  </si>
  <si>
    <t>P ROANOKE RAPIDS 9</t>
  </si>
  <si>
    <t>P ROANOKE RAPIDS CIVIC</t>
  </si>
  <si>
    <t>P SCOTLAND NECK</t>
  </si>
  <si>
    <t>P WELDON 1-2</t>
  </si>
  <si>
    <t>P WELDON 3</t>
  </si>
  <si>
    <t>P ANDERSON CREEK</t>
  </si>
  <si>
    <t>P BARBECUE</t>
  </si>
  <si>
    <t>P BLACK RIVER</t>
  </si>
  <si>
    <t>P BOONE TRAIL</t>
  </si>
  <si>
    <t>P CENTRAL HARNETT LILLINGTON</t>
  </si>
  <si>
    <t>P CENTRAL HARNETT NEILLS CREEK</t>
  </si>
  <si>
    <t>P COATS/GROVE</t>
  </si>
  <si>
    <t>P EAST AVERASBORO</t>
  </si>
  <si>
    <t>P ERWIN/DUKE</t>
  </si>
  <si>
    <t>P JOHNSONVILLE</t>
  </si>
  <si>
    <t>P NORTHWEST HARNETT</t>
  </si>
  <si>
    <t>P STEWARTS CREEK</t>
  </si>
  <si>
    <t>P WEST AVERASBORO</t>
  </si>
  <si>
    <t>P ALLENS CREEK</t>
  </si>
  <si>
    <t>P BEAVERDAM 1</t>
  </si>
  <si>
    <t>P BEAVERDAM 2</t>
  </si>
  <si>
    <t>P BEAVERDAM 3</t>
  </si>
  <si>
    <t>P BEAVERDAM 4</t>
  </si>
  <si>
    <t>P BEAVERDAM 5/6</t>
  </si>
  <si>
    <t>P BEAVERDAM 7</t>
  </si>
  <si>
    <t>P BIG CREEK</t>
  </si>
  <si>
    <t>P CECIL</t>
  </si>
  <si>
    <t>P CLYDE NORTH</t>
  </si>
  <si>
    <t>P CLYDE SOUTH</t>
  </si>
  <si>
    <t>P CRABTREE</t>
  </si>
  <si>
    <t>P EAST FORK</t>
  </si>
  <si>
    <t>P FINES CREEK 1</t>
  </si>
  <si>
    <t>P FINES CREEK 2</t>
  </si>
  <si>
    <t>P HAZELWOOD</t>
  </si>
  <si>
    <t>P IRON DUFF</t>
  </si>
  <si>
    <t>P IVY HILL</t>
  </si>
  <si>
    <t>P JONATHAN CREEK</t>
  </si>
  <si>
    <t>P LAKE JUNALUSKA</t>
  </si>
  <si>
    <t>P PIGEON</t>
  </si>
  <si>
    <t>P PIGEON CENTER</t>
  </si>
  <si>
    <t>P SAUNOOK</t>
  </si>
  <si>
    <t>P WAYNESVILLE CENTER</t>
  </si>
  <si>
    <t>P WAYNESVILLE EAST</t>
  </si>
  <si>
    <t>P WAYNESVILLE SOUTH 1</t>
  </si>
  <si>
    <t>P WAYNESVILLE SOUTH 2</t>
  </si>
  <si>
    <t>P WAYNESVILLE WEST</t>
  </si>
  <si>
    <t>P ARMORY</t>
  </si>
  <si>
    <t>P ATKINSON</t>
  </si>
  <si>
    <t>P BAT CAVE</t>
  </si>
  <si>
    <t>P BRICKTON</t>
  </si>
  <si>
    <t>P CAROLINA VILLAGE</t>
  </si>
  <si>
    <t>P CLEAR CREEK</t>
  </si>
  <si>
    <t>P CRAB CREEK</t>
  </si>
  <si>
    <t>P EAST FLAT ROCK</t>
  </si>
  <si>
    <t>P EDNEYVILLE</t>
  </si>
  <si>
    <t>P ETOWAH SOUTH</t>
  </si>
  <si>
    <t>P ETOWAH VALLEY</t>
  </si>
  <si>
    <t>P FLAT ROCK</t>
  </si>
  <si>
    <t>P FLETCHER</t>
  </si>
  <si>
    <t>P GREEN RIVER</t>
  </si>
  <si>
    <t>P GRIMESDALE</t>
  </si>
  <si>
    <t>P HENDERSONVILLE-1</t>
  </si>
  <si>
    <t>P HENDERSONVILLE-2</t>
  </si>
  <si>
    <t>P HENDERSONVILLE-3</t>
  </si>
  <si>
    <t>P HOOPERS CREEK</t>
  </si>
  <si>
    <t>P HORSE SHOE</t>
  </si>
  <si>
    <t>P LAUREL PARK</t>
  </si>
  <si>
    <t>P LONG JOHN MOUNTAIN</t>
  </si>
  <si>
    <t>P MOORES GROVE</t>
  </si>
  <si>
    <t>P NORTH BLUE RIDGE</t>
  </si>
  <si>
    <t>P NORTH MILLS RIVER</t>
  </si>
  <si>
    <t>P NORTHEAST</t>
  </si>
  <si>
    <t>P PARK RIDGE</t>
  </si>
  <si>
    <t>P PISGAH VIEW</t>
  </si>
  <si>
    <t>P RAVEN ROCK</t>
  </si>
  <si>
    <t>P RUGBY</t>
  </si>
  <si>
    <t>P SOUTH BLUE RIDGE</t>
  </si>
  <si>
    <t>P SOUTH MILLS RIVER</t>
  </si>
  <si>
    <t>P SOUTHEAST</t>
  </si>
  <si>
    <t>P SOUTHWEST</t>
  </si>
  <si>
    <t>P AHOSKIE 1</t>
  </si>
  <si>
    <t>P AHOSKIE 2</t>
  </si>
  <si>
    <t>P AHOSKIE 3</t>
  </si>
  <si>
    <t>P BRYANTVILLE</t>
  </si>
  <si>
    <t>P COFIELD</t>
  </si>
  <si>
    <t>P COMO</t>
  </si>
  <si>
    <t>P HARRELLSVILLE</t>
  </si>
  <si>
    <t>P MILLENNIUM</t>
  </si>
  <si>
    <t>P MURFREESBORO 1</t>
  </si>
  <si>
    <t>P MURFREESBORO 2</t>
  </si>
  <si>
    <t>P ST JOHN</t>
  </si>
  <si>
    <t>P WINTON</t>
  </si>
  <si>
    <t>P ALLENDALE</t>
  </si>
  <si>
    <t>P BLUE SPRINGS</t>
  </si>
  <si>
    <t>P BUCHAN</t>
  </si>
  <si>
    <t>P MCCAIN</t>
  </si>
  <si>
    <t>P PHILIPPI</t>
  </si>
  <si>
    <t>P PUPPY CREEK</t>
  </si>
  <si>
    <t>P RAEFORD #1</t>
  </si>
  <si>
    <t>P RAEFORD #2</t>
  </si>
  <si>
    <t>P RAEFORD #3</t>
  </si>
  <si>
    <t>P RAEFORD #4</t>
  </si>
  <si>
    <t>P RAEFORD #5</t>
  </si>
  <si>
    <t>P STONEWALL</t>
  </si>
  <si>
    <t>P WAYSIDE</t>
  </si>
  <si>
    <t>P BURGESS MILL</t>
  </si>
  <si>
    <t>P ENGELHARD</t>
  </si>
  <si>
    <t>P FAIRFIELD</t>
  </si>
  <si>
    <t>P LAKE LANDING</t>
  </si>
  <si>
    <t>P OCRACOKE</t>
  </si>
  <si>
    <t>P SLADESVILLE</t>
  </si>
  <si>
    <t>P SWAN QUARTER</t>
  </si>
  <si>
    <t>P BARRINGER</t>
  </si>
  <si>
    <t>P BETHANY</t>
  </si>
  <si>
    <t>P CHAMBERSBURG-A</t>
  </si>
  <si>
    <t>P CHAMBERSBURG-B</t>
  </si>
  <si>
    <t>P CODDLE CREEK #1</t>
  </si>
  <si>
    <t>P CODDLE CREEK #2</t>
  </si>
  <si>
    <t>P CODDLE CREEK #3</t>
  </si>
  <si>
    <t>P CODDLE CREEK #4</t>
  </si>
  <si>
    <t>P CONCORD</t>
  </si>
  <si>
    <t>P COOL SPRINGS</t>
  </si>
  <si>
    <t>P DAVIDSON #1-A</t>
  </si>
  <si>
    <t>P DAVIDSON #1-B</t>
  </si>
  <si>
    <t>P DAVIDSON #2-A</t>
  </si>
  <si>
    <t>P DAVIDSON #2-B</t>
  </si>
  <si>
    <t>P EAGLE MILLS</t>
  </si>
  <si>
    <t>P FALLSTOWN</t>
  </si>
  <si>
    <t>P OLIN</t>
  </si>
  <si>
    <t>P SHARPESBURG</t>
  </si>
  <si>
    <t>P SHILOH-A</t>
  </si>
  <si>
    <t>P SHILOH-B</t>
  </si>
  <si>
    <t>P STATESVILLE #1</t>
  </si>
  <si>
    <t>P STATESVILLE #2</t>
  </si>
  <si>
    <t>P STATESVILLE #3</t>
  </si>
  <si>
    <t>P STATESVILLE #4</t>
  </si>
  <si>
    <t>P STATESVILLE #5</t>
  </si>
  <si>
    <t>P STATESVILLE #6</t>
  </si>
  <si>
    <t>P TURNERSBURG</t>
  </si>
  <si>
    <t>P UNION GROVE</t>
  </si>
  <si>
    <t>P BARKERS CREEK</t>
  </si>
  <si>
    <t>P CANADA</t>
  </si>
  <si>
    <t>P CANEY FORK</t>
  </si>
  <si>
    <t>P CASHIERS</t>
  </si>
  <si>
    <t>P CULLOWHEE</t>
  </si>
  <si>
    <t>P GLENVILLE</t>
  </si>
  <si>
    <t>P GREENS CREEK</t>
  </si>
  <si>
    <t>P QUALLA</t>
  </si>
  <si>
    <t>P RIVER</t>
  </si>
  <si>
    <t>P SAVANNAH</t>
  </si>
  <si>
    <t>P SCOTTS CREEK COMBINED</t>
  </si>
  <si>
    <t>P SYLVA NORTH DILLSBORO</t>
  </si>
  <si>
    <t>P SYLVA-SOUTH WD</t>
  </si>
  <si>
    <t>P WEBSTER</t>
  </si>
  <si>
    <t>P ARCHERS LODGE</t>
  </si>
  <si>
    <t>P BANNER</t>
  </si>
  <si>
    <t>P BENTONVILLE</t>
  </si>
  <si>
    <t>P BEULAH</t>
  </si>
  <si>
    <t>P EAST CLAYTON</t>
  </si>
  <si>
    <t>P EAST SELMA</t>
  </si>
  <si>
    <t>P EAST SMITHFIELD</t>
  </si>
  <si>
    <t>P FLOWERS PLANTATION</t>
  </si>
  <si>
    <t>P INGRAMS</t>
  </si>
  <si>
    <t>P MEADOW</t>
  </si>
  <si>
    <t>P MICRO</t>
  </si>
  <si>
    <t>P NORTH BOON HILL</t>
  </si>
  <si>
    <t>P NORTH CLAYTON 1</t>
  </si>
  <si>
    <t>P NORTH CLAYTON 2</t>
  </si>
  <si>
    <t>P NORTH CLEVELAND 1</t>
  </si>
  <si>
    <t>P NORTH CLEVELAND 2</t>
  </si>
  <si>
    <t>P NORTH ELEVATION</t>
  </si>
  <si>
    <t>P NORTH ONEALS</t>
  </si>
  <si>
    <t>P NORTH PLEASANT GROVE 1</t>
  </si>
  <si>
    <t>P NORTH PLEASANT GROVE 2</t>
  </si>
  <si>
    <t>P NORTH SMITHFIELD 1</t>
  </si>
  <si>
    <t>P NORTH SMITHFIELD 2</t>
  </si>
  <si>
    <t>P NORTH WILDERS</t>
  </si>
  <si>
    <t>P PINE LEVEL</t>
  </si>
  <si>
    <t>P SOUTH BOON HILL</t>
  </si>
  <si>
    <t>P SOUTH CLAYTON</t>
  </si>
  <si>
    <t>P SOUTH ELEVATION</t>
  </si>
  <si>
    <t>P SOUTH ONEALS</t>
  </si>
  <si>
    <t>P SOUTH PLEASANT GROVE</t>
  </si>
  <si>
    <t>P SOUTH SMITHFIELD</t>
  </si>
  <si>
    <t>P SOUTHEAST CLEVELAND</t>
  </si>
  <si>
    <t>P SOUTHWEST CLEVELAND</t>
  </si>
  <si>
    <t>P WEST CLAYTON 1</t>
  </si>
  <si>
    <t>P WEST CLAYTON 2</t>
  </si>
  <si>
    <t>P WEST SELMA</t>
  </si>
  <si>
    <t>P WILSONS MILLS</t>
  </si>
  <si>
    <t>P BEAVER CREEK</t>
  </si>
  <si>
    <t>P POLLOCKSVILLE</t>
  </si>
  <si>
    <t>P TRENTON</t>
  </si>
  <si>
    <t>P TUCKAHOE</t>
  </si>
  <si>
    <t>P PRECINCT A1</t>
  </si>
  <si>
    <t>P PRECINCT A2</t>
  </si>
  <si>
    <t>P PRECINCT B1</t>
  </si>
  <si>
    <t>P PRECINCT B2</t>
  </si>
  <si>
    <t>P PRECINCT C1</t>
  </si>
  <si>
    <t>P PRECINCT C2</t>
  </si>
  <si>
    <t>P PRECINCT D1</t>
  </si>
  <si>
    <t>P PRECINCT D2</t>
  </si>
  <si>
    <t>P PRECINCT E1</t>
  </si>
  <si>
    <t>P PRECINCT E2</t>
  </si>
  <si>
    <t>P CONTENTNEA</t>
  </si>
  <si>
    <t>P INSTITUTE</t>
  </si>
  <si>
    <t>P KINSTON -1</t>
  </si>
  <si>
    <t>P KINSTON-2</t>
  </si>
  <si>
    <t>P KINSTON-3</t>
  </si>
  <si>
    <t>P KINSTON-4</t>
  </si>
  <si>
    <t>P KINSTON-5</t>
  </si>
  <si>
    <t>P KINSTON-6</t>
  </si>
  <si>
    <t>P KINSTON-7</t>
  </si>
  <si>
    <t>P KINSTON-8</t>
  </si>
  <si>
    <t>P KINSTON-9</t>
  </si>
  <si>
    <t>P MOSELEY HALL</t>
  </si>
  <si>
    <t>P NEUSE</t>
  </si>
  <si>
    <t>P PINK HILL-1</t>
  </si>
  <si>
    <t>P PINK HILL-2</t>
  </si>
  <si>
    <t>P SANDHILL</t>
  </si>
  <si>
    <t>P TRENT-1</t>
  </si>
  <si>
    <t>P TRENT-2</t>
  </si>
  <si>
    <t>P VANCE</t>
  </si>
  <si>
    <t>P WOODINGTON</t>
  </si>
  <si>
    <t>P ASBURY</t>
  </si>
  <si>
    <t>P BOGER CITY</t>
  </si>
  <si>
    <t>P BUFFALO SHOALS</t>
  </si>
  <si>
    <t>P COWANS FORD</t>
  </si>
  <si>
    <t>P DANIELS/VALE</t>
  </si>
  <si>
    <t>P DENVER</t>
  </si>
  <si>
    <t>P DENVER WEST</t>
  </si>
  <si>
    <t>P HOWARDS CREEK</t>
  </si>
  <si>
    <t>P IRON STATION</t>
  </si>
  <si>
    <t>P IRON STATION SOUTH</t>
  </si>
  <si>
    <t>P LABORATORY</t>
  </si>
  <si>
    <t>P LINCOLNTON/NORTH</t>
  </si>
  <si>
    <t>P LINCOLNTON/SOUTH</t>
  </si>
  <si>
    <t>P LITHIA</t>
  </si>
  <si>
    <t>P LOWESVILLE</t>
  </si>
  <si>
    <t>P LOWESVILLE WEST</t>
  </si>
  <si>
    <t>P NORTH BROOK 3A</t>
  </si>
  <si>
    <t>P ORE BANK</t>
  </si>
  <si>
    <t>P PUMPKIN CENTER</t>
  </si>
  <si>
    <t>P TRIANGLE A</t>
  </si>
  <si>
    <t>P WESTPORT</t>
  </si>
  <si>
    <t>P BURNINGTOWN</t>
  </si>
  <si>
    <t>P CARTOOGECHAYE</t>
  </si>
  <si>
    <t>P COWEE</t>
  </si>
  <si>
    <t>P EAST FRANKLIN</t>
  </si>
  <si>
    <t>P ELLIJAY</t>
  </si>
  <si>
    <t>P FLATS</t>
  </si>
  <si>
    <t>P HIGHLANDS</t>
  </si>
  <si>
    <t>P IOTLA</t>
  </si>
  <si>
    <t>P MILLSHOAL</t>
  </si>
  <si>
    <t>P NANTAHALA</t>
  </si>
  <si>
    <t>P NORTH FRANKLIN</t>
  </si>
  <si>
    <t>P SMITHBRIDGE</t>
  </si>
  <si>
    <t>P SOUTH FRANKLIN</t>
  </si>
  <si>
    <t>P SUGARFORK</t>
  </si>
  <si>
    <t>P BEECH GLEN</t>
  </si>
  <si>
    <t>P EBBS CHAPEL</t>
  </si>
  <si>
    <t>P GRAPEVINE</t>
  </si>
  <si>
    <t>P HOT SPRINGS</t>
  </si>
  <si>
    <t>P MARS HILL</t>
  </si>
  <si>
    <t>P NORTH MARSHALL</t>
  </si>
  <si>
    <t>P REVERE-RICE COVE</t>
  </si>
  <si>
    <t>P SANDY MUSH</t>
  </si>
  <si>
    <t>P SOUTH MARSHALL</t>
  </si>
  <si>
    <t>P SPRING CREEK</t>
  </si>
  <si>
    <t>P WALNUT</t>
  </si>
  <si>
    <t>P BEAR GRASS</t>
  </si>
  <si>
    <t>P CROSS ROADS</t>
  </si>
  <si>
    <t>P GOOSE NEST</t>
  </si>
  <si>
    <t>P GRIFFINS</t>
  </si>
  <si>
    <t>P HAMILTON</t>
  </si>
  <si>
    <t>P HASSELL</t>
  </si>
  <si>
    <t>P JAMESVILLE</t>
  </si>
  <si>
    <t>P POPLAR POINT</t>
  </si>
  <si>
    <t>P ROBERSONVILLE 1</t>
  </si>
  <si>
    <t>P ROBERSONVILLE 2</t>
  </si>
  <si>
    <t>P WILLIAMS</t>
  </si>
  <si>
    <t>P WILLIAMSTON 1</t>
  </si>
  <si>
    <t>P WILLIAMSTON 2</t>
  </si>
  <si>
    <t>P CROOKED CREEK</t>
  </si>
  <si>
    <t>P DYSARTSVILLE</t>
  </si>
  <si>
    <t>P GLENWOOD</t>
  </si>
  <si>
    <t>P HIGGINS</t>
  </si>
  <si>
    <t>P MARION #1</t>
  </si>
  <si>
    <t>P MARION #2</t>
  </si>
  <si>
    <t>P MARION #3</t>
  </si>
  <si>
    <t>P MARION #4</t>
  </si>
  <si>
    <t>P MARION #5</t>
  </si>
  <si>
    <t>P MONTFORD COVE</t>
  </si>
  <si>
    <t>P NEBO</t>
  </si>
  <si>
    <t>P NORTH COVE</t>
  </si>
  <si>
    <t>P OLD FORT #1</t>
  </si>
  <si>
    <t>P OLD FORT #2</t>
  </si>
  <si>
    <t>P PLEASANT GARDENS</t>
  </si>
  <si>
    <t>P TURKEY COVE #17</t>
  </si>
  <si>
    <t>P WEST MARION #7</t>
  </si>
  <si>
    <t>P PCT 001</t>
  </si>
  <si>
    <t>P PCT 002</t>
  </si>
  <si>
    <t>P PCT 003</t>
  </si>
  <si>
    <t>P PCT 004</t>
  </si>
  <si>
    <t>P PCT 005</t>
  </si>
  <si>
    <t>P PCT 006</t>
  </si>
  <si>
    <t>P PCT 007</t>
  </si>
  <si>
    <t>P PCT 008</t>
  </si>
  <si>
    <t>P PCT 009</t>
  </si>
  <si>
    <t>P PCT 010</t>
  </si>
  <si>
    <t>P PCT 011</t>
  </si>
  <si>
    <t>P PCT 012</t>
  </si>
  <si>
    <t>P PCT 013</t>
  </si>
  <si>
    <t>P PCT 014</t>
  </si>
  <si>
    <t>P PCT 015</t>
  </si>
  <si>
    <t>P PCT 016</t>
  </si>
  <si>
    <t>P PCT 017</t>
  </si>
  <si>
    <t>P PCT 018</t>
  </si>
  <si>
    <t>P PCT 019</t>
  </si>
  <si>
    <t>P PCT 020</t>
  </si>
  <si>
    <t>P PCT 021</t>
  </si>
  <si>
    <t>P PCT 022</t>
  </si>
  <si>
    <t>P PCT 023</t>
  </si>
  <si>
    <t>P PCT 024</t>
  </si>
  <si>
    <t>P PCT 025</t>
  </si>
  <si>
    <t>P PCT 026</t>
  </si>
  <si>
    <t>P PCT 027</t>
  </si>
  <si>
    <t>P PCT 028</t>
  </si>
  <si>
    <t>P PCT 029</t>
  </si>
  <si>
    <t>P PCT 030</t>
  </si>
  <si>
    <t>P PCT 031</t>
  </si>
  <si>
    <t>P PCT 032</t>
  </si>
  <si>
    <t>P PCT 033</t>
  </si>
  <si>
    <t>P PCT 034</t>
  </si>
  <si>
    <t>P PCT 035</t>
  </si>
  <si>
    <t>P PCT 036</t>
  </si>
  <si>
    <t>P PCT 037</t>
  </si>
  <si>
    <t>P PCT 038</t>
  </si>
  <si>
    <t>P PCT 039</t>
  </si>
  <si>
    <t>P PCT 040</t>
  </si>
  <si>
    <t>P PCT 041</t>
  </si>
  <si>
    <t>P PCT 042</t>
  </si>
  <si>
    <t>P PCT 043</t>
  </si>
  <si>
    <t>P PCT 044</t>
  </si>
  <si>
    <t>P PCT 045</t>
  </si>
  <si>
    <t>P PCT 046</t>
  </si>
  <si>
    <t>P PCT 047</t>
  </si>
  <si>
    <t>P PCT 048</t>
  </si>
  <si>
    <t>P PCT 049</t>
  </si>
  <si>
    <t>P PCT 050</t>
  </si>
  <si>
    <t>P PCT 051</t>
  </si>
  <si>
    <t>P PCT 052</t>
  </si>
  <si>
    <t>P PCT 053</t>
  </si>
  <si>
    <t>P PCT 054</t>
  </si>
  <si>
    <t>P PCT 055</t>
  </si>
  <si>
    <t>P PCT 056</t>
  </si>
  <si>
    <t>P PCT 057</t>
  </si>
  <si>
    <t>P PCT 058</t>
  </si>
  <si>
    <t>P PCT 059</t>
  </si>
  <si>
    <t>P PCT 060</t>
  </si>
  <si>
    <t>P PCT 061</t>
  </si>
  <si>
    <t>P PCT 062</t>
  </si>
  <si>
    <t>P PCT 063</t>
  </si>
  <si>
    <t>P PCT 064</t>
  </si>
  <si>
    <t>P PCT 065</t>
  </si>
  <si>
    <t>P PCT 066</t>
  </si>
  <si>
    <t>P PCT 067</t>
  </si>
  <si>
    <t>P PCT 068</t>
  </si>
  <si>
    <t>P PCT 069</t>
  </si>
  <si>
    <t>P PCT 070</t>
  </si>
  <si>
    <t>P PCT 071</t>
  </si>
  <si>
    <t>P PCT 072</t>
  </si>
  <si>
    <t>P PCT 073</t>
  </si>
  <si>
    <t>P PCT 074</t>
  </si>
  <si>
    <t>P PCT 075</t>
  </si>
  <si>
    <t>P PCT 076</t>
  </si>
  <si>
    <t>P PCT 077</t>
  </si>
  <si>
    <t>P PCT 078</t>
  </si>
  <si>
    <t>P PCT 079</t>
  </si>
  <si>
    <t>P PCT 080</t>
  </si>
  <si>
    <t>P PCT 081</t>
  </si>
  <si>
    <t>P PCT 082</t>
  </si>
  <si>
    <t>P PCT 083</t>
  </si>
  <si>
    <t>P PCT 084</t>
  </si>
  <si>
    <t>P PCT 085</t>
  </si>
  <si>
    <t>P PCT 086</t>
  </si>
  <si>
    <t>P PCT 087</t>
  </si>
  <si>
    <t>P PCT 088</t>
  </si>
  <si>
    <t>P PCT 089</t>
  </si>
  <si>
    <t>P PCT 090</t>
  </si>
  <si>
    <t>P PCT 091</t>
  </si>
  <si>
    <t>P PCT 092</t>
  </si>
  <si>
    <t>P PCT 093</t>
  </si>
  <si>
    <t>P PCT 094</t>
  </si>
  <si>
    <t>P PCT 095</t>
  </si>
  <si>
    <t>P PCT 096</t>
  </si>
  <si>
    <t>P PCT 097</t>
  </si>
  <si>
    <t>P PCT 098</t>
  </si>
  <si>
    <t>P PCT 099</t>
  </si>
  <si>
    <t>P PCT 100</t>
  </si>
  <si>
    <t>P PCT 101</t>
  </si>
  <si>
    <t>P PCT 102</t>
  </si>
  <si>
    <t>P PCT 103</t>
  </si>
  <si>
    <t>P PCT 104</t>
  </si>
  <si>
    <t>P PCT 105</t>
  </si>
  <si>
    <t>P PCT 106</t>
  </si>
  <si>
    <t>P PCT 107</t>
  </si>
  <si>
    <t>P PCT 108</t>
  </si>
  <si>
    <t>P PCT 109</t>
  </si>
  <si>
    <t>P PCT 110</t>
  </si>
  <si>
    <t>P PCT 111</t>
  </si>
  <si>
    <t>P PCT 112</t>
  </si>
  <si>
    <t>P PCT 113</t>
  </si>
  <si>
    <t>P PCT 114</t>
  </si>
  <si>
    <t>P PCT 115</t>
  </si>
  <si>
    <t>P PCT 116</t>
  </si>
  <si>
    <t>P PCT 117</t>
  </si>
  <si>
    <t>P PCT 118</t>
  </si>
  <si>
    <t>P PCT 119</t>
  </si>
  <si>
    <t>P PCT 120</t>
  </si>
  <si>
    <t>P PCT 121</t>
  </si>
  <si>
    <t>P PCT 122</t>
  </si>
  <si>
    <t>P PCT 123</t>
  </si>
  <si>
    <t>P PCT 124</t>
  </si>
  <si>
    <t>P PCT 125</t>
  </si>
  <si>
    <t>P PCT 126</t>
  </si>
  <si>
    <t>P PCT 127</t>
  </si>
  <si>
    <t>P PCT 128</t>
  </si>
  <si>
    <t>P PCT 129</t>
  </si>
  <si>
    <t>P PCT 130</t>
  </si>
  <si>
    <t>P PCT 131</t>
  </si>
  <si>
    <t>P PCT 132</t>
  </si>
  <si>
    <t>P PCT 133</t>
  </si>
  <si>
    <t>P PCT 134</t>
  </si>
  <si>
    <t>P PCT 135</t>
  </si>
  <si>
    <t>P PCT 136</t>
  </si>
  <si>
    <t>P PCT 137</t>
  </si>
  <si>
    <t>P PCT 138</t>
  </si>
  <si>
    <t>P PCT 139</t>
  </si>
  <si>
    <t>P PCT 140</t>
  </si>
  <si>
    <t>P PCT 141</t>
  </si>
  <si>
    <t>P PCT 142</t>
  </si>
  <si>
    <t>P PCT 143</t>
  </si>
  <si>
    <t>P PCT 144</t>
  </si>
  <si>
    <t>P PCT 145</t>
  </si>
  <si>
    <t>P PCT 146</t>
  </si>
  <si>
    <t>P PCT 147</t>
  </si>
  <si>
    <t>P PCT 148</t>
  </si>
  <si>
    <t>P PCT 149</t>
  </si>
  <si>
    <t>P PCT 150</t>
  </si>
  <si>
    <t>P PCT 151</t>
  </si>
  <si>
    <t>P PCT 200</t>
  </si>
  <si>
    <t>P PCT 201</t>
  </si>
  <si>
    <t>P PCT 202</t>
  </si>
  <si>
    <t>P PCT 203</t>
  </si>
  <si>
    <t>P PCT 204</t>
  </si>
  <si>
    <t>P PCT 205</t>
  </si>
  <si>
    <t>P PCT 206</t>
  </si>
  <si>
    <t>P PCT 207</t>
  </si>
  <si>
    <t>P PCT 208</t>
  </si>
  <si>
    <t>P PCT 209</t>
  </si>
  <si>
    <t>P PCT 210</t>
  </si>
  <si>
    <t>P PCT 211</t>
  </si>
  <si>
    <t>P PCT 212</t>
  </si>
  <si>
    <t>P PCT 213</t>
  </si>
  <si>
    <t>P PCT 214</t>
  </si>
  <si>
    <t>P PCT 215</t>
  </si>
  <si>
    <t>P PCT 216</t>
  </si>
  <si>
    <t>P PCT 217</t>
  </si>
  <si>
    <t>P PCT 218</t>
  </si>
  <si>
    <t>P PCT 219</t>
  </si>
  <si>
    <t>P PCT 220</t>
  </si>
  <si>
    <t>P PCT 221</t>
  </si>
  <si>
    <t>P PCT 222</t>
  </si>
  <si>
    <t>P PCT 223</t>
  </si>
  <si>
    <t>P PCT 224</t>
  </si>
  <si>
    <t>P PCT 225</t>
  </si>
  <si>
    <t>P PCT 226</t>
  </si>
  <si>
    <t>P PCT 227</t>
  </si>
  <si>
    <t>P PCT 228</t>
  </si>
  <si>
    <t>P PCT 229</t>
  </si>
  <si>
    <t>P PCT 230</t>
  </si>
  <si>
    <t>P PCT 231</t>
  </si>
  <si>
    <t>P PCT 232</t>
  </si>
  <si>
    <t>P PCT 233</t>
  </si>
  <si>
    <t>P PCT 234</t>
  </si>
  <si>
    <t>P PCT 235</t>
  </si>
  <si>
    <t>P PCT 236</t>
  </si>
  <si>
    <t>P PCT 237</t>
  </si>
  <si>
    <t>P PCT 238</t>
  </si>
  <si>
    <t>P PCT 239</t>
  </si>
  <si>
    <t>P PCT 240</t>
  </si>
  <si>
    <t>P PCT 241</t>
  </si>
  <si>
    <t>P PCT 242</t>
  </si>
  <si>
    <t>P PCT 243</t>
  </si>
  <si>
    <t>P BAKERSVILLE</t>
  </si>
  <si>
    <t>P BRADSHAW</t>
  </si>
  <si>
    <t>P CANE CREEK</t>
  </si>
  <si>
    <t>P GRASSY CREEK</t>
  </si>
  <si>
    <t>P HARRELL</t>
  </si>
  <si>
    <t>P LITTLE ROCK CREEK</t>
  </si>
  <si>
    <t>P POPLAR</t>
  </si>
  <si>
    <t>P RED HILL</t>
  </si>
  <si>
    <t>P SNOW CREEK</t>
  </si>
  <si>
    <t>P BISCOE</t>
  </si>
  <si>
    <t>P CANDOR</t>
  </si>
  <si>
    <t>P CHEEKS CREEK</t>
  </si>
  <si>
    <t>P ELDORADO</t>
  </si>
  <si>
    <t>P MT GILEAD</t>
  </si>
  <si>
    <t>P OPHIR</t>
  </si>
  <si>
    <t>P PEE DEE</t>
  </si>
  <si>
    <t>P ROCKY SPRINGS</t>
  </si>
  <si>
    <t>P STAR</t>
  </si>
  <si>
    <t>P TROY 1</t>
  </si>
  <si>
    <t>P TROY 2</t>
  </si>
  <si>
    <t>P UWHARRIE</t>
  </si>
  <si>
    <t>P WADEVILLE</t>
  </si>
  <si>
    <t>P BENSALEM</t>
  </si>
  <si>
    <t>P CAMERON</t>
  </si>
  <si>
    <t>P CARTHAGE</t>
  </si>
  <si>
    <t>P DEEP RIVER/HIGH FALLS/RITTER</t>
  </si>
  <si>
    <t>P EAST ABERDEEN</t>
  </si>
  <si>
    <t>P EAST KNOLLWOOD</t>
  </si>
  <si>
    <t>P EASTWOOD</t>
  </si>
  <si>
    <t>P EUREKA/WHISPERING PINES</t>
  </si>
  <si>
    <t>P NORTH SOUTHERN PINES</t>
  </si>
  <si>
    <t>P PINEBLUFF</t>
  </si>
  <si>
    <t>P PINEDENE</t>
  </si>
  <si>
    <t>P PINEHURST A1</t>
  </si>
  <si>
    <t>P PINEHURST A2</t>
  </si>
  <si>
    <t>P PINEHURST B1</t>
  </si>
  <si>
    <t>P PINEHURST B2</t>
  </si>
  <si>
    <t>P PINEHURST C</t>
  </si>
  <si>
    <t>P ROBBINS</t>
  </si>
  <si>
    <t>P SEVEN LAKES</t>
  </si>
  <si>
    <t>P SOUTH SOUTHERN PINES</t>
  </si>
  <si>
    <t>P TAYLORTOWN</t>
  </si>
  <si>
    <t>P VASS</t>
  </si>
  <si>
    <t>P WEST ABERDEEN</t>
  </si>
  <si>
    <t>P WEST END</t>
  </si>
  <si>
    <t>P WEST KNOLLWOOD</t>
  </si>
  <si>
    <t>P WESTMOORE</t>
  </si>
  <si>
    <t>P BAILEY</t>
  </si>
  <si>
    <t>P CASTALIA</t>
  </si>
  <si>
    <t>P COOPERS</t>
  </si>
  <si>
    <t>P DORTCHES</t>
  </si>
  <si>
    <t>P MIDDLESEX</t>
  </si>
  <si>
    <t>P MOMEYER</t>
  </si>
  <si>
    <t>P NASHVILLE</t>
  </si>
  <si>
    <t>P OAK LEVEL</t>
  </si>
  <si>
    <t>P RED OAK</t>
  </si>
  <si>
    <t>P ROCKY MOUNT BATTLEBORO</t>
  </si>
  <si>
    <t>P ROCKY MOUNT BENVENUE</t>
  </si>
  <si>
    <t>P ROCKY MOUNT DOWNTOWN</t>
  </si>
  <si>
    <t>P ROCKY MOUNT EDWARDS</t>
  </si>
  <si>
    <t>P ROCKY MOUNT HUNTER HILL</t>
  </si>
  <si>
    <t>P ROCKY MOUNT SOUTH</t>
  </si>
  <si>
    <t>P ROCKY MOUNT SUNSET</t>
  </si>
  <si>
    <t>P ROCKY MOUNT WINSTEAD</t>
  </si>
  <si>
    <t>P SAMARIA</t>
  </si>
  <si>
    <t>P SPRING HOPE</t>
  </si>
  <si>
    <t>P STANHOPE</t>
  </si>
  <si>
    <t>P CF01</t>
  </si>
  <si>
    <t>P CF02</t>
  </si>
  <si>
    <t>P CF05</t>
  </si>
  <si>
    <t>P CF06</t>
  </si>
  <si>
    <t>P FP03</t>
  </si>
  <si>
    <t>P FP04</t>
  </si>
  <si>
    <t>P FP06</t>
  </si>
  <si>
    <t>P FP07</t>
  </si>
  <si>
    <t>P FP08</t>
  </si>
  <si>
    <t>P M02</t>
  </si>
  <si>
    <t>P M03</t>
  </si>
  <si>
    <t>P M04</t>
  </si>
  <si>
    <t>P M06</t>
  </si>
  <si>
    <t>P M07</t>
  </si>
  <si>
    <t>P W03</t>
  </si>
  <si>
    <t>P W08</t>
  </si>
  <si>
    <t>P W12</t>
  </si>
  <si>
    <t>P W13</t>
  </si>
  <si>
    <t>P W15</t>
  </si>
  <si>
    <t>P W16</t>
  </si>
  <si>
    <t>P W17</t>
  </si>
  <si>
    <t>P W18</t>
  </si>
  <si>
    <t>P W21</t>
  </si>
  <si>
    <t>P W24</t>
  </si>
  <si>
    <t>P W25</t>
  </si>
  <si>
    <t>P W26</t>
  </si>
  <si>
    <t>P W27</t>
  </si>
  <si>
    <t>P W28</t>
  </si>
  <si>
    <t>P W29</t>
  </si>
  <si>
    <t>P W30</t>
  </si>
  <si>
    <t>P W31</t>
  </si>
  <si>
    <t>P WB</t>
  </si>
  <si>
    <t>P CONWAY</t>
  </si>
  <si>
    <t>P CREEKSVILLE</t>
  </si>
  <si>
    <t>P GALATIA</t>
  </si>
  <si>
    <t>P GARYSBURG</t>
  </si>
  <si>
    <t>P GASTON</t>
  </si>
  <si>
    <t>P JACKSON</t>
  </si>
  <si>
    <t>P LAKE GASTON</t>
  </si>
  <si>
    <t>P LASKER</t>
  </si>
  <si>
    <t>P MILWAUKEE</t>
  </si>
  <si>
    <t>P NEWTOWN</t>
  </si>
  <si>
    <t>P PENDLETON</t>
  </si>
  <si>
    <t>P PLEASANT HILL</t>
  </si>
  <si>
    <t>P POTECASI</t>
  </si>
  <si>
    <t>P REHOBOTH</t>
  </si>
  <si>
    <t>P RICH SQUARE</t>
  </si>
  <si>
    <t>P SEABOARD</t>
  </si>
  <si>
    <t>P SEVERN</t>
  </si>
  <si>
    <t>P WOODLAND</t>
  </si>
  <si>
    <t>P BC21</t>
  </si>
  <si>
    <t>P BM08</t>
  </si>
  <si>
    <t>P CL10</t>
  </si>
  <si>
    <t>P CR07</t>
  </si>
  <si>
    <t>P EN03</t>
  </si>
  <si>
    <t>P FS16</t>
  </si>
  <si>
    <t>P GB12</t>
  </si>
  <si>
    <t>P HM05</t>
  </si>
  <si>
    <t>P HN14</t>
  </si>
  <si>
    <t>P HR17</t>
  </si>
  <si>
    <t>P HU20</t>
  </si>
  <si>
    <t>P JA01</t>
  </si>
  <si>
    <t>P ML23</t>
  </si>
  <si>
    <t>P MT24</t>
  </si>
  <si>
    <t>P NE22A</t>
  </si>
  <si>
    <t>P NE22B</t>
  </si>
  <si>
    <t>P NM13</t>
  </si>
  <si>
    <t>P NR02</t>
  </si>
  <si>
    <t>P RL09</t>
  </si>
  <si>
    <t>P SF18</t>
  </si>
  <si>
    <t>P SW19</t>
  </si>
  <si>
    <t>P TL06</t>
  </si>
  <si>
    <t>P VR15</t>
  </si>
  <si>
    <t>P WN04</t>
  </si>
  <si>
    <t>P BATTLE PARK</t>
  </si>
  <si>
    <t>P BOOKER CREEK</t>
  </si>
  <si>
    <t>P CALDWELL</t>
  </si>
  <si>
    <t>P CAMERON PARK</t>
  </si>
  <si>
    <t>P CARR</t>
  </si>
  <si>
    <t>P CARRBORO</t>
  </si>
  <si>
    <t>P CEDAR FALLS</t>
  </si>
  <si>
    <t>P CEDAR GROVE</t>
  </si>
  <si>
    <t>P CHEEKS</t>
  </si>
  <si>
    <t>P COKER HILLS</t>
  </si>
  <si>
    <t>P COLES STORE</t>
  </si>
  <si>
    <t>P COLONIAL HEIGHTS</t>
  </si>
  <si>
    <t>P COUNTRY CLUB</t>
  </si>
  <si>
    <t>P DAMASCUS</t>
  </si>
  <si>
    <t>P DOGWOOD ACRES</t>
  </si>
  <si>
    <t>P EASTSIDE</t>
  </si>
  <si>
    <t>P EFLAND</t>
  </si>
  <si>
    <t>P ENO</t>
  </si>
  <si>
    <t>P ESTES HILLS</t>
  </si>
  <si>
    <t>P GRADY BROWN</t>
  </si>
  <si>
    <t>P GREENWOOD</t>
  </si>
  <si>
    <t>P HILLSBOROUGH</t>
  </si>
  <si>
    <t>P HOGAN FARMS</t>
  </si>
  <si>
    <t>P KINGS MILL</t>
  </si>
  <si>
    <t>P LINCOLN</t>
  </si>
  <si>
    <t>P LIONS CLUB</t>
  </si>
  <si>
    <t>P MASON FARM</t>
  </si>
  <si>
    <t>P NORTH CARRBORO</t>
  </si>
  <si>
    <t>P NORTHSIDE</t>
  </si>
  <si>
    <t>P ORANGE GROVE</t>
  </si>
  <si>
    <t>P OWASA</t>
  </si>
  <si>
    <t>P RIDGEFIELD</t>
  </si>
  <si>
    <t>P ST MARYS</t>
  </si>
  <si>
    <t>P TOLARS</t>
  </si>
  <si>
    <t>P TOWN HALL</t>
  </si>
  <si>
    <t>P WEAVER DAIRY</t>
  </si>
  <si>
    <t>P WEAVER DAIRY SAT</t>
  </si>
  <si>
    <t>P WEST HILLSBOROUGH</t>
  </si>
  <si>
    <t>P WESTWOOD</t>
  </si>
  <si>
    <t>P WHITE CROSS</t>
  </si>
  <si>
    <t>P ALLIANCE</t>
  </si>
  <si>
    <t>P ARAPAHOE</t>
  </si>
  <si>
    <t>P BAYBORO</t>
  </si>
  <si>
    <t>P GRANTSBORO</t>
  </si>
  <si>
    <t>P HOBUCKEN</t>
  </si>
  <si>
    <t>P MESIC</t>
  </si>
  <si>
    <t>P ORIENTAL</t>
  </si>
  <si>
    <t>P REELSBORO</t>
  </si>
  <si>
    <t>P VANDEMERE</t>
  </si>
  <si>
    <t>P EAST ELIZABETH CITY</t>
  </si>
  <si>
    <t>P MT HERMON</t>
  </si>
  <si>
    <t>P NEWLAND</t>
  </si>
  <si>
    <t>P NIXONTON</t>
  </si>
  <si>
    <t>P NORTH ELIZABETH CITY</t>
  </si>
  <si>
    <t>P SOUTH ELIZABETH CITY</t>
  </si>
  <si>
    <t>P WEST ELIZABETH CITY</t>
  </si>
  <si>
    <t>P CANETUCK</t>
  </si>
  <si>
    <t>P CAPE FEAR</t>
  </si>
  <si>
    <t>P CASWELL</t>
  </si>
  <si>
    <t>P COLUMBIA</t>
  </si>
  <si>
    <t>P GRADY</t>
  </si>
  <si>
    <t>P LONG CREEK</t>
  </si>
  <si>
    <t>P LOWER TOPSAIL</t>
  </si>
  <si>
    <t>P LOWER UNION</t>
  </si>
  <si>
    <t>P MIDDLE HOLLY</t>
  </si>
  <si>
    <t>P MIDDLE TOPSAIL</t>
  </si>
  <si>
    <t>P NORTH BURGAW</t>
  </si>
  <si>
    <t>P PENDERLEA</t>
  </si>
  <si>
    <t>P ROCKY POINT</t>
  </si>
  <si>
    <t>P SCOTTS HILL</t>
  </si>
  <si>
    <t>P SLOOP POINT</t>
  </si>
  <si>
    <t>P SOUTH BURGAW</t>
  </si>
  <si>
    <t>P SURF CITY</t>
  </si>
  <si>
    <t>P UPPER HOLLY</t>
  </si>
  <si>
    <t>P UPPER TOPSAIL</t>
  </si>
  <si>
    <t>P UPPER UNION</t>
  </si>
  <si>
    <t>P BELVIDERE</t>
  </si>
  <si>
    <t>P EAST HERTFORD</t>
  </si>
  <si>
    <t>P NICANOR</t>
  </si>
  <si>
    <t>P PARKVILLE</t>
  </si>
  <si>
    <t>P WEST HERTFORD</t>
  </si>
  <si>
    <t>P ALLENSVILLE</t>
  </si>
  <si>
    <t>P CUNNINGHAM/CHUB LAKE</t>
  </si>
  <si>
    <t>P FLAT RIVER</t>
  </si>
  <si>
    <t>P HOLLOWAY</t>
  </si>
  <si>
    <t>P MT TIRZAH</t>
  </si>
  <si>
    <t>P OLIVE HILL</t>
  </si>
  <si>
    <t>P PIEDMONT NORTH</t>
  </si>
  <si>
    <t>P ROXBORO 4</t>
  </si>
  <si>
    <t>P ROXBORO CENTRAL</t>
  </si>
  <si>
    <t>P SOUTH WEST</t>
  </si>
  <si>
    <t>P WOODSDALE</t>
  </si>
  <si>
    <t>P ARTHUR</t>
  </si>
  <si>
    <t>P AYDEN A</t>
  </si>
  <si>
    <t>P AYDEN B</t>
  </si>
  <si>
    <t>P BELVOIR</t>
  </si>
  <si>
    <t>P CAROLINA</t>
  </si>
  <si>
    <t>P CHICOD</t>
  </si>
  <si>
    <t>P FALKLAND</t>
  </si>
  <si>
    <t>P FARMVILLE A</t>
  </si>
  <si>
    <t>P FARMVILLE B</t>
  </si>
  <si>
    <t>P FOUNTAIN</t>
  </si>
  <si>
    <t>P GREENVILLE #1</t>
  </si>
  <si>
    <t>P GREENVILLE #10A</t>
  </si>
  <si>
    <t>P GREENVILLE #10B</t>
  </si>
  <si>
    <t>P GREENVILLE #11A</t>
  </si>
  <si>
    <t>P GREENVILLE #11B</t>
  </si>
  <si>
    <t>P GREENVILLE #12A</t>
  </si>
  <si>
    <t>P GREENVILLE #12B</t>
  </si>
  <si>
    <t>P GREENVILLE #13A</t>
  </si>
  <si>
    <t>P GREENVILLE #13B</t>
  </si>
  <si>
    <t>P GREENVILLE #3</t>
  </si>
  <si>
    <t>P GREENVILLE #4A</t>
  </si>
  <si>
    <t>P GREENVILLE #4B</t>
  </si>
  <si>
    <t>P GREENVILLE #5A</t>
  </si>
  <si>
    <t>P GREENVILLE #5B</t>
  </si>
  <si>
    <t>P GREENVILLE #6</t>
  </si>
  <si>
    <t>P GREENVILLE #7</t>
  </si>
  <si>
    <t>P GREENVILLE #7B</t>
  </si>
  <si>
    <t>P GREENVILLE #8A</t>
  </si>
  <si>
    <t>P GREENVILLE #8B</t>
  </si>
  <si>
    <t>P GREENVILLE #9</t>
  </si>
  <si>
    <t>P GRIFTON</t>
  </si>
  <si>
    <t>P GRIMESLAND</t>
  </si>
  <si>
    <t>P PACTOLUS</t>
  </si>
  <si>
    <t>P SIMPSON A</t>
  </si>
  <si>
    <t>P SIMPSON B</t>
  </si>
  <si>
    <t>P SWIFT CREEK</t>
  </si>
  <si>
    <t>P WINTERVILLE NORTH</t>
  </si>
  <si>
    <t>P WINTERVILLE SOUTH</t>
  </si>
  <si>
    <t>P WINTERVILLE WEST</t>
  </si>
  <si>
    <t>P COLUMBUS-1</t>
  </si>
  <si>
    <t>P COLUMBUS-2</t>
  </si>
  <si>
    <t>P COOPERS GAP</t>
  </si>
  <si>
    <t>P GREEN CREEK</t>
  </si>
  <si>
    <t>P SALUDA</t>
  </si>
  <si>
    <t>P ARCHDALE</t>
  </si>
  <si>
    <t>P ASHEBORO EAST</t>
  </si>
  <si>
    <t>P ASHEBORO NORTH</t>
  </si>
  <si>
    <t>P ASHEBORO SOUTH</t>
  </si>
  <si>
    <t>P ASHEBORO WEST</t>
  </si>
  <si>
    <t>P BACK CREEK</t>
  </si>
  <si>
    <t>P DEEP RIVER</t>
  </si>
  <si>
    <t>P GRANT</t>
  </si>
  <si>
    <t>P LEVEL CROSS</t>
  </si>
  <si>
    <t>P LIBERTY</t>
  </si>
  <si>
    <t>P NEW MARKET</t>
  </si>
  <si>
    <t>P RAMSEUR</t>
  </si>
  <si>
    <t>P RANDLEMAN</t>
  </si>
  <si>
    <t>P SOUTHERN</t>
  </si>
  <si>
    <t>P STALEY</t>
  </si>
  <si>
    <t>P TABERNACLE</t>
  </si>
  <si>
    <t>P TRINITY</t>
  </si>
  <si>
    <t>P TRINITY TABERNACLE</t>
  </si>
  <si>
    <t>P BEAVER DAM #1</t>
  </si>
  <si>
    <t>P BEAVER DAM #2</t>
  </si>
  <si>
    <t>P BLACK JACK #1</t>
  </si>
  <si>
    <t>P MARKS CREEK #1</t>
  </si>
  <si>
    <t>P MARKS CREEK #2</t>
  </si>
  <si>
    <t>P MINERAL SPRINGS #1</t>
  </si>
  <si>
    <t>P MINERAL SPRINGS #2</t>
  </si>
  <si>
    <t>P ROCKINGHAM #1</t>
  </si>
  <si>
    <t>P ROCKINGHAM #2</t>
  </si>
  <si>
    <t>P ROCKINGHAM #3</t>
  </si>
  <si>
    <t>P STEELES #1</t>
  </si>
  <si>
    <t>P STEELES #2</t>
  </si>
  <si>
    <t>P WOLF PIT #1</t>
  </si>
  <si>
    <t>P WOLF PIT #2</t>
  </si>
  <si>
    <t>P WOLF PIT #3</t>
  </si>
  <si>
    <t>P WOLF PIT #4</t>
  </si>
  <si>
    <t>P ALFORDSVILLE</t>
  </si>
  <si>
    <t>P BACK SWAMP</t>
  </si>
  <si>
    <t>P BRITTS</t>
  </si>
  <si>
    <t>P BURNT SWAMP</t>
  </si>
  <si>
    <t>P EAST HOWELLSVILLE</t>
  </si>
  <si>
    <t>P FAIRMONT</t>
  </si>
  <si>
    <t>P GADDYS</t>
  </si>
  <si>
    <t>P LUMBER BRIDGE</t>
  </si>
  <si>
    <t>P LUMBERTON #1</t>
  </si>
  <si>
    <t>P LUMBERTON #11A</t>
  </si>
  <si>
    <t>P LUMBERTON #2</t>
  </si>
  <si>
    <t>P LUMBERTON #3</t>
  </si>
  <si>
    <t>P LUMBERTON #4</t>
  </si>
  <si>
    <t>P LUMBERTON #5</t>
  </si>
  <si>
    <t>P LUMBERTON #6</t>
  </si>
  <si>
    <t>P LUMBERTON #7</t>
  </si>
  <si>
    <t>P LUMBERTON #8A</t>
  </si>
  <si>
    <t>P MAXTON</t>
  </si>
  <si>
    <t>P NORTH PEMBROKE</t>
  </si>
  <si>
    <t>P ORRUM</t>
  </si>
  <si>
    <t>P OXENDINE</t>
  </si>
  <si>
    <t>P PARKTON</t>
  </si>
  <si>
    <t>P PHILADELPHUS</t>
  </si>
  <si>
    <t>P PROSPECT</t>
  </si>
  <si>
    <t>P RAFT SWAMP</t>
  </si>
  <si>
    <t>P RED SPRINGS</t>
  </si>
  <si>
    <t>P RENNERT</t>
  </si>
  <si>
    <t>P ROWLAND</t>
  </si>
  <si>
    <t>P SADDLETREE</t>
  </si>
  <si>
    <t>P SHANNON</t>
  </si>
  <si>
    <t>P SMYRNA</t>
  </si>
  <si>
    <t>P SOUTH PEMBROKE</t>
  </si>
  <si>
    <t>P ST PAULS</t>
  </si>
  <si>
    <t>P STERLINGS</t>
  </si>
  <si>
    <t>P THOMPSON</t>
  </si>
  <si>
    <t>P WEST HOWELLSVILLE</t>
  </si>
  <si>
    <t>P WHITEHOUSE</t>
  </si>
  <si>
    <t>P WISHARTS</t>
  </si>
  <si>
    <t>P DRAPER</t>
  </si>
  <si>
    <t>P EDEN CENTRAL</t>
  </si>
  <si>
    <t>P EDEN-1</t>
  </si>
  <si>
    <t>P HOGANS</t>
  </si>
  <si>
    <t>P HUNTSVILLE</t>
  </si>
  <si>
    <t>P IRONWORKS</t>
  </si>
  <si>
    <t>P LEAKSVILLE #2</t>
  </si>
  <si>
    <t>P MATRIMONY</t>
  </si>
  <si>
    <t>P MCCOY</t>
  </si>
  <si>
    <t>P MOSS STREET</t>
  </si>
  <si>
    <t>P NEW BETHEL</t>
  </si>
  <si>
    <t>P ROCK CENTRAL</t>
  </si>
  <si>
    <t>P WESTERN</t>
  </si>
  <si>
    <t>P BARNHARDT MILL</t>
  </si>
  <si>
    <t>P BLACKWELDER PARK</t>
  </si>
  <si>
    <t>P BOSTIAN CROSS ROAD</t>
  </si>
  <si>
    <t>P BOSTIAN SCHOOL</t>
  </si>
  <si>
    <t>P CHINA GROVE</t>
  </si>
  <si>
    <t>P CLEVELAND</t>
  </si>
  <si>
    <t>P EAST ENOCHVILLE</t>
  </si>
  <si>
    <t>P EAST KANNAPOLIS</t>
  </si>
  <si>
    <t>P EAST SPENCER</t>
  </si>
  <si>
    <t>P ELLIS</t>
  </si>
  <si>
    <t>P FAITH</t>
  </si>
  <si>
    <t>P FRANKLIN</t>
  </si>
  <si>
    <t>P GOLD KNOB</t>
  </si>
  <si>
    <t>P GRANITE QUARRY</t>
  </si>
  <si>
    <t>P HATTERS SHOP</t>
  </si>
  <si>
    <t>P LANDIS</t>
  </si>
  <si>
    <t>P MILFORD HILLS CITY</t>
  </si>
  <si>
    <t>P MILFORD HILLS COUNTY</t>
  </si>
  <si>
    <t>P MORGAN #1</t>
  </si>
  <si>
    <t>P MORGAN #2</t>
  </si>
  <si>
    <t>P MT. ULLA</t>
  </si>
  <si>
    <t>P NORTH LOCKE</t>
  </si>
  <si>
    <t>P NORTH WARD</t>
  </si>
  <si>
    <t>P ROCK GROVE</t>
  </si>
  <si>
    <t>P ROCKWELL</t>
  </si>
  <si>
    <t>P SCOTCH IRISH</t>
  </si>
  <si>
    <t>P SOUTH LOCKE</t>
  </si>
  <si>
    <t>P SOUTH WARD</t>
  </si>
  <si>
    <t>P SPENCER</t>
  </si>
  <si>
    <t>P STEELE</t>
  </si>
  <si>
    <t>P SUMNER</t>
  </si>
  <si>
    <t>P TRADING FORD</t>
  </si>
  <si>
    <t>P UNITY</t>
  </si>
  <si>
    <t>P WEST ENOCHVILLE</t>
  </si>
  <si>
    <t>P WEST INNES</t>
  </si>
  <si>
    <t>P WEST KANNAPOLIS</t>
  </si>
  <si>
    <t>P WEST WARD #1</t>
  </si>
  <si>
    <t>P WEST WARD #2</t>
  </si>
  <si>
    <t>P WEST WARD #3</t>
  </si>
  <si>
    <t>P BOSTIC-SUNSHINE</t>
  </si>
  <si>
    <t>P CAMP CREEK-MT VERNON</t>
  </si>
  <si>
    <t>P CAROLEEN-CLIFFSIDE</t>
  </si>
  <si>
    <t>P CHIMNEY ROCK</t>
  </si>
  <si>
    <t>P DANIELTOWN-SULPHUR SPRINGS</t>
  </si>
  <si>
    <t>P DUNCAN CREEK-GOLDEN VALLEY</t>
  </si>
  <si>
    <t>P ELLENBORO</t>
  </si>
  <si>
    <t>P FOREST CITY #1</t>
  </si>
  <si>
    <t>P FOREST CITY #2</t>
  </si>
  <si>
    <t>P GILKEY-MORGAN</t>
  </si>
  <si>
    <t>P GREEN HILL</t>
  </si>
  <si>
    <t>P HAYNES</t>
  </si>
  <si>
    <t>P RUTHERFORDTON #1</t>
  </si>
  <si>
    <t>P RUTHERFORDTON #2</t>
  </si>
  <si>
    <t>P SPINDALE</t>
  </si>
  <si>
    <t>P AUTRYVILLE</t>
  </si>
  <si>
    <t>P CLEMENT</t>
  </si>
  <si>
    <t>P CLINTON, CENTRAL</t>
  </si>
  <si>
    <t>P CLINTON, EAST</t>
  </si>
  <si>
    <t>P CLINTON, NORTHEAST</t>
  </si>
  <si>
    <t>P CLINTON, SOUTHWEST</t>
  </si>
  <si>
    <t>P CLINTON, WEST</t>
  </si>
  <si>
    <t>P GARLAND</t>
  </si>
  <si>
    <t>P GIDDENSVILLE</t>
  </si>
  <si>
    <t>P HARRELLS</t>
  </si>
  <si>
    <t>P HERRING</t>
  </si>
  <si>
    <t>P INGOLD</t>
  </si>
  <si>
    <t>P KEENER</t>
  </si>
  <si>
    <t>P KITTY FORK</t>
  </si>
  <si>
    <t>P LAKEWOOD</t>
  </si>
  <si>
    <t>P MINGO</t>
  </si>
  <si>
    <t>P NEWTON GROVE</t>
  </si>
  <si>
    <t>P PLAINVIEW</t>
  </si>
  <si>
    <t>P ROSEBORO</t>
  </si>
  <si>
    <t>P ROWAN</t>
  </si>
  <si>
    <t>P SALEMBURG</t>
  </si>
  <si>
    <t>P TURKEY</t>
  </si>
  <si>
    <t>P WESTBROOK</t>
  </si>
  <si>
    <t>P ALBEMARLE NUMBER 10</t>
  </si>
  <si>
    <t>P ALBEMARLE NUMBER 11</t>
  </si>
  <si>
    <t>P ALBEMARLE NUMBER 2</t>
  </si>
  <si>
    <t>P ALBEMARLE NUMBER 3</t>
  </si>
  <si>
    <t>P ALBEMARLE NUMBER 7</t>
  </si>
  <si>
    <t>P ALBEMARLE NUMBER 8</t>
  </si>
  <si>
    <t>P ALMOND</t>
  </si>
  <si>
    <t>P BADIN</t>
  </si>
  <si>
    <t>P BIG LICK NUMBER 1</t>
  </si>
  <si>
    <t>P BIG LICK NUMBER 2</t>
  </si>
  <si>
    <t>P EAST ALBEMARLE</t>
  </si>
  <si>
    <t>P EAST CENTER</t>
  </si>
  <si>
    <t>P ENDY</t>
  </si>
  <si>
    <t>P FURR NUMBER 1</t>
  </si>
  <si>
    <t>P FURR NUMBER 2</t>
  </si>
  <si>
    <t>P NEW LONDON</t>
  </si>
  <si>
    <t>P NORTH ALBEMARLE</t>
  </si>
  <si>
    <t>P PALMERVILLE</t>
  </si>
  <si>
    <t>P RICHFIELD</t>
  </si>
  <si>
    <t>P RIDENHOUR</t>
  </si>
  <si>
    <t>P SOUTH ALBEMARLE</t>
  </si>
  <si>
    <t>P TYSON</t>
  </si>
  <si>
    <t>P WEST CENTER</t>
  </si>
  <si>
    <t>P CHESTNUT GROVE</t>
  </si>
  <si>
    <t>P DANBURY</t>
  </si>
  <si>
    <t>P EAST KING</t>
  </si>
  <si>
    <t>P EAST WALNUT COVE</t>
  </si>
  <si>
    <t>P FLINTY KNOLL</t>
  </si>
  <si>
    <t>P FRANCISCO</t>
  </si>
  <si>
    <t>P FRANS</t>
  </si>
  <si>
    <t>P FREEMAN</t>
  </si>
  <si>
    <t>P GERMANTON</t>
  </si>
  <si>
    <t>P LAWSONVILLE</t>
  </si>
  <si>
    <t>P MITCHELL</t>
  </si>
  <si>
    <t>P MIZPAH</t>
  </si>
  <si>
    <t>P PINE HALL</t>
  </si>
  <si>
    <t>P PINNACLE</t>
  </si>
  <si>
    <t>P REYNOLDS</t>
  </si>
  <si>
    <t>P WEST KING</t>
  </si>
  <si>
    <t>P WEST WALNUT COVE</t>
  </si>
  <si>
    <t>P WILSON ST.</t>
  </si>
  <si>
    <t>P BRYAN</t>
  </si>
  <si>
    <t>P DOBSON #1</t>
  </si>
  <si>
    <t>P DOBSON #2</t>
  </si>
  <si>
    <t>P DOBSON #3</t>
  </si>
  <si>
    <t>P ELDORA</t>
  </si>
  <si>
    <t>P ELKIN #1</t>
  </si>
  <si>
    <t>P ELKIN #2</t>
  </si>
  <si>
    <t>P ELKIN #3</t>
  </si>
  <si>
    <t>P LONGHILL</t>
  </si>
  <si>
    <t>P MARSH</t>
  </si>
  <si>
    <t>P MT AIRY #1</t>
  </si>
  <si>
    <t>P MT AIRY #2</t>
  </si>
  <si>
    <t>P MT AIRY #3</t>
  </si>
  <si>
    <t>P MT AIRY #4</t>
  </si>
  <si>
    <t>P MT AIRY #5</t>
  </si>
  <si>
    <t>P MT AIRY #6</t>
  </si>
  <si>
    <t>P MT AIRY #7</t>
  </si>
  <si>
    <t>P MT AIRY #8</t>
  </si>
  <si>
    <t>P MT AIRY #9</t>
  </si>
  <si>
    <t>P NORTH WESTFIELD</t>
  </si>
  <si>
    <t>P PILOT #1</t>
  </si>
  <si>
    <t>P PILOT #2</t>
  </si>
  <si>
    <t>P ROCKFORD</t>
  </si>
  <si>
    <t>P SHOALS</t>
  </si>
  <si>
    <t>P SILOAM</t>
  </si>
  <si>
    <t>P SOUTH WESTFIELD</t>
  </si>
  <si>
    <t>P STEWARTS CREEK #1</t>
  </si>
  <si>
    <t>P STEWARTS CREEK #2</t>
  </si>
  <si>
    <t>P ALARKA</t>
  </si>
  <si>
    <t>P BC1</t>
  </si>
  <si>
    <t>P BC2</t>
  </si>
  <si>
    <t>P WHCH</t>
  </si>
  <si>
    <t>P BOYD</t>
  </si>
  <si>
    <t>P BREVARD #1</t>
  </si>
  <si>
    <t>P BREVARD #2</t>
  </si>
  <si>
    <t>P BREVARD #3</t>
  </si>
  <si>
    <t>P BREVARD #4</t>
  </si>
  <si>
    <t>P CATHEYS CREEK</t>
  </si>
  <si>
    <t>P CEDAR MOUNTAIN</t>
  </si>
  <si>
    <t>P DUNNS ROCK</t>
  </si>
  <si>
    <t>P PISGAH FOREST</t>
  </si>
  <si>
    <t>P ROSMAN EASTATOE</t>
  </si>
  <si>
    <t>P TC1</t>
  </si>
  <si>
    <t>P TC7</t>
  </si>
  <si>
    <t>P WILLIAMSON CREEK</t>
  </si>
  <si>
    <t>P ALLIGATOR</t>
  </si>
  <si>
    <t>P GUMNECK</t>
  </si>
  <si>
    <t>P KILKENNY</t>
  </si>
  <si>
    <t>P SCUPPERNONG</t>
  </si>
  <si>
    <t>P SOUTH FORK</t>
  </si>
  <si>
    <t>P 001</t>
  </si>
  <si>
    <t>P 002</t>
  </si>
  <si>
    <t>P 003</t>
  </si>
  <si>
    <t>P 004</t>
  </si>
  <si>
    <t>P 005</t>
  </si>
  <si>
    <t>P 006</t>
  </si>
  <si>
    <t>P 007</t>
  </si>
  <si>
    <t>P 008</t>
  </si>
  <si>
    <t>P 009</t>
  </si>
  <si>
    <t>P 010</t>
  </si>
  <si>
    <t>P 016</t>
  </si>
  <si>
    <t>P 017A</t>
  </si>
  <si>
    <t>P 017B</t>
  </si>
  <si>
    <t>P 018</t>
  </si>
  <si>
    <t>P 019</t>
  </si>
  <si>
    <t>P 020A</t>
  </si>
  <si>
    <t>P 020B</t>
  </si>
  <si>
    <t>P 022</t>
  </si>
  <si>
    <t>P 023</t>
  </si>
  <si>
    <t>P 024</t>
  </si>
  <si>
    <t>P 025</t>
  </si>
  <si>
    <t>P 026</t>
  </si>
  <si>
    <t>P 027</t>
  </si>
  <si>
    <t>P 028A</t>
  </si>
  <si>
    <t>P 028B</t>
  </si>
  <si>
    <t>P 028C</t>
  </si>
  <si>
    <t>P 028D</t>
  </si>
  <si>
    <t>P 029A</t>
  </si>
  <si>
    <t>P 029B</t>
  </si>
  <si>
    <t>P 029C</t>
  </si>
  <si>
    <t>P 030</t>
  </si>
  <si>
    <t>P 035</t>
  </si>
  <si>
    <t>P 036</t>
  </si>
  <si>
    <t>P 037A</t>
  </si>
  <si>
    <t>P 037B</t>
  </si>
  <si>
    <t>P 038A</t>
  </si>
  <si>
    <t>P 038B</t>
  </si>
  <si>
    <t>P 039</t>
  </si>
  <si>
    <t>P 040</t>
  </si>
  <si>
    <t>P 041</t>
  </si>
  <si>
    <t>P CC</t>
  </si>
  <si>
    <t>P EH1</t>
  </si>
  <si>
    <t>P HTOP</t>
  </si>
  <si>
    <t>P KITT</t>
  </si>
  <si>
    <t>P MIDD</t>
  </si>
  <si>
    <t>P NH</t>
  </si>
  <si>
    <t>P NH1</t>
  </si>
  <si>
    <t>P NV</t>
  </si>
  <si>
    <t>P SCRK</t>
  </si>
  <si>
    <t>P SH1</t>
  </si>
  <si>
    <t>P SH2</t>
  </si>
  <si>
    <t>P WH</t>
  </si>
  <si>
    <t>P PRECINCT 01-01</t>
  </si>
  <si>
    <t>P PRECINCT 01-02</t>
  </si>
  <si>
    <t>P PRECINCT 01-03</t>
  </si>
  <si>
    <t>P PRECINCT 01-04</t>
  </si>
  <si>
    <t>P PRECINCT 01-05</t>
  </si>
  <si>
    <t>P PRECINCT 01-06</t>
  </si>
  <si>
    <t>P PRECINCT 01-07</t>
  </si>
  <si>
    <t>P PRECINCT 01-07A</t>
  </si>
  <si>
    <t>P PRECINCT 01-09</t>
  </si>
  <si>
    <t>P PRECINCT 01-10</t>
  </si>
  <si>
    <t>P PRECINCT 01-11</t>
  </si>
  <si>
    <t>P PRECINCT 01-12</t>
  </si>
  <si>
    <t>P PRECINCT 01-13</t>
  </si>
  <si>
    <t>P PRECINCT 01-14</t>
  </si>
  <si>
    <t>P PRECINCT 01-15</t>
  </si>
  <si>
    <t>P PRECINCT 01-16</t>
  </si>
  <si>
    <t>P PRECINCT 01-17</t>
  </si>
  <si>
    <t>P PRECINCT 01-18</t>
  </si>
  <si>
    <t>P PRECINCT 01-19</t>
  </si>
  <si>
    <t>P PRECINCT 01-20</t>
  </si>
  <si>
    <t>P PRECINCT 01-21</t>
  </si>
  <si>
    <t>P PRECINCT 01-22</t>
  </si>
  <si>
    <t>P PRECINCT 01-23</t>
  </si>
  <si>
    <t>P PRECINCT 01-25</t>
  </si>
  <si>
    <t>P PRECINCT 01-26</t>
  </si>
  <si>
    <t>P PRECINCT 01-27</t>
  </si>
  <si>
    <t>P PRECINCT 01-28</t>
  </si>
  <si>
    <t>P PRECINCT 01-29</t>
  </si>
  <si>
    <t>P PRECINCT 01-30</t>
  </si>
  <si>
    <t>P PRECINCT 01-31</t>
  </si>
  <si>
    <t>P PRECINCT 01-32</t>
  </si>
  <si>
    <t>P PRECINCT 01-33</t>
  </si>
  <si>
    <t>P PRECINCT 01-34</t>
  </si>
  <si>
    <t>P PRECINCT 01-35</t>
  </si>
  <si>
    <t>P PRECINCT 01-36</t>
  </si>
  <si>
    <t>P PRECINCT 01-37</t>
  </si>
  <si>
    <t>P PRECINCT 01-38</t>
  </si>
  <si>
    <t>P PRECINCT 01-39</t>
  </si>
  <si>
    <t>P PRECINCT 01-40</t>
  </si>
  <si>
    <t>P PRECINCT 01-41</t>
  </si>
  <si>
    <t>P PRECINCT 01-42</t>
  </si>
  <si>
    <t>P PRECINCT 01-43</t>
  </si>
  <si>
    <t>P PRECINCT 01-44</t>
  </si>
  <si>
    <t>P PRECINCT 01-45</t>
  </si>
  <si>
    <t>P PRECINCT 01-46</t>
  </si>
  <si>
    <t>P PRECINCT 01-47</t>
  </si>
  <si>
    <t>P PRECINCT 01-48</t>
  </si>
  <si>
    <t>P PRECINCT 01-49</t>
  </si>
  <si>
    <t>P PRECINCT 01-50</t>
  </si>
  <si>
    <t>P PRECINCT 01-51</t>
  </si>
  <si>
    <t>P PRECINCT 02-01</t>
  </si>
  <si>
    <t>P PRECINCT 02-02</t>
  </si>
  <si>
    <t>P PRECINCT 02-03</t>
  </si>
  <si>
    <t>P PRECINCT 02-04</t>
  </si>
  <si>
    <t>P PRECINCT 02-05</t>
  </si>
  <si>
    <t>P PRECINCT 02-06</t>
  </si>
  <si>
    <t>P PRECINCT 03-00</t>
  </si>
  <si>
    <t>P PRECINCT 04-01</t>
  </si>
  <si>
    <t>P PRECINCT 04-02</t>
  </si>
  <si>
    <t>P PRECINCT 04-03</t>
  </si>
  <si>
    <t>P PRECINCT 04-04</t>
  </si>
  <si>
    <t>P PRECINCT 04-05</t>
  </si>
  <si>
    <t>P PRECINCT 04-06</t>
  </si>
  <si>
    <t>P PRECINCT 04-07</t>
  </si>
  <si>
    <t>P PRECINCT 04-08</t>
  </si>
  <si>
    <t>P PRECINCT 04-09</t>
  </si>
  <si>
    <t>P PRECINCT 04-10</t>
  </si>
  <si>
    <t>P PRECINCT 04-11</t>
  </si>
  <si>
    <t>P PRECINCT 04-12</t>
  </si>
  <si>
    <t>P PRECINCT 04-13</t>
  </si>
  <si>
    <t>P PRECINCT 04-14</t>
  </si>
  <si>
    <t>P PRECINCT 04-15</t>
  </si>
  <si>
    <t>P PRECINCT 04-16</t>
  </si>
  <si>
    <t>P PRECINCT 04-17</t>
  </si>
  <si>
    <t>P PRECINCT 04-18</t>
  </si>
  <si>
    <t>P PRECINCT 04-19</t>
  </si>
  <si>
    <t>P PRECINCT 04-20</t>
  </si>
  <si>
    <t>P PRECINCT 04-21</t>
  </si>
  <si>
    <t>P PRECINCT 05-01</t>
  </si>
  <si>
    <t>P PRECINCT 05-03</t>
  </si>
  <si>
    <t>P PRECINCT 05-05</t>
  </si>
  <si>
    <t>P PRECINCT 05-06</t>
  </si>
  <si>
    <t>P PRECINCT 05-07</t>
  </si>
  <si>
    <t>P PRECINCT 05-08</t>
  </si>
  <si>
    <t>P PRECINCT 06-04</t>
  </si>
  <si>
    <t>P PRECINCT 06-05</t>
  </si>
  <si>
    <t>P PRECINCT 06-06</t>
  </si>
  <si>
    <t>P PRECINCT 06-07</t>
  </si>
  <si>
    <t>P PRECINCT 06-08</t>
  </si>
  <si>
    <t>P PRECINCT 06-09</t>
  </si>
  <si>
    <t>P PRECINCT 06-10</t>
  </si>
  <si>
    <t>P PRECINCT 07-01</t>
  </si>
  <si>
    <t>P PRECINCT 07-02</t>
  </si>
  <si>
    <t>P PRECINCT 07-03</t>
  </si>
  <si>
    <t>P PRECINCT 07-04</t>
  </si>
  <si>
    <t>P PRECINCT 07-05</t>
  </si>
  <si>
    <t>P PRECINCT 07-06</t>
  </si>
  <si>
    <t>P PRECINCT 07-07</t>
  </si>
  <si>
    <t>P PRECINCT 07-07A</t>
  </si>
  <si>
    <t>P PRECINCT 07-09</t>
  </si>
  <si>
    <t>P PRECINCT 07-10</t>
  </si>
  <si>
    <t>P PRECINCT 07-11</t>
  </si>
  <si>
    <t>P PRECINCT 07-12</t>
  </si>
  <si>
    <t>P PRECINCT 07-13</t>
  </si>
  <si>
    <t>P PRECINCT 08-02</t>
  </si>
  <si>
    <t>P PRECINCT 08-03</t>
  </si>
  <si>
    <t>P PRECINCT 08-04</t>
  </si>
  <si>
    <t>P PRECINCT 08-05</t>
  </si>
  <si>
    <t>P PRECINCT 08-06</t>
  </si>
  <si>
    <t>P PRECINCT 08-07</t>
  </si>
  <si>
    <t>P PRECINCT 08-08</t>
  </si>
  <si>
    <t>P PRECINCT 08-09</t>
  </si>
  <si>
    <t>P PRECINCT 08-10</t>
  </si>
  <si>
    <t>P PRECINCT 08-11</t>
  </si>
  <si>
    <t>P PRECINCT 09-01</t>
  </si>
  <si>
    <t>P PRECINCT 09-02</t>
  </si>
  <si>
    <t>P PRECINCT 09-03</t>
  </si>
  <si>
    <t>P PRECINCT 10-01</t>
  </si>
  <si>
    <t>P PRECINCT 10-02</t>
  </si>
  <si>
    <t>P PRECINCT 10-03</t>
  </si>
  <si>
    <t>P PRECINCT 10-04</t>
  </si>
  <si>
    <t>P PRECINCT 11-01</t>
  </si>
  <si>
    <t>P PRECINCT 11-02</t>
  </si>
  <si>
    <t>P PRECINCT 12-01</t>
  </si>
  <si>
    <t>P PRECINCT 12-02</t>
  </si>
  <si>
    <t>P PRECINCT 12-04</t>
  </si>
  <si>
    <t>P PRECINCT 12-05</t>
  </si>
  <si>
    <t>P PRECINCT 12-06</t>
  </si>
  <si>
    <t>P PRECINCT 12-07</t>
  </si>
  <si>
    <t>P PRECINCT 12-08</t>
  </si>
  <si>
    <t>P PRECINCT 12-09</t>
  </si>
  <si>
    <t>P PRECINCT 13-01</t>
  </si>
  <si>
    <t>P PRECINCT 13-02</t>
  </si>
  <si>
    <t>P PRECINCT 13-05</t>
  </si>
  <si>
    <t>P PRECINCT 13-06</t>
  </si>
  <si>
    <t>P PRECINCT 13-07</t>
  </si>
  <si>
    <t>P PRECINCT 13-08</t>
  </si>
  <si>
    <t>P PRECINCT 13-09</t>
  </si>
  <si>
    <t>P PRECINCT 13-10</t>
  </si>
  <si>
    <t>P PRECINCT 13-11</t>
  </si>
  <si>
    <t>P PRECINCT 14-01</t>
  </si>
  <si>
    <t>P PRECINCT 14-02</t>
  </si>
  <si>
    <t>P PRECINCT 15-01</t>
  </si>
  <si>
    <t>P PRECINCT 15-02</t>
  </si>
  <si>
    <t>P PRECINCT 15-03</t>
  </si>
  <si>
    <t>P PRECINCT 15-04</t>
  </si>
  <si>
    <t>P PRECINCT 16-01</t>
  </si>
  <si>
    <t>P PRECINCT 16-02</t>
  </si>
  <si>
    <t>P PRECINCT 16-03</t>
  </si>
  <si>
    <t>P PRECINCT 16-04</t>
  </si>
  <si>
    <t>P PRECINCT 16-05</t>
  </si>
  <si>
    <t>P PRECINCT 16-06</t>
  </si>
  <si>
    <t>P PRECINCT 16-07</t>
  </si>
  <si>
    <t>P PRECINCT 16-08</t>
  </si>
  <si>
    <t>P PRECINCT 16-09</t>
  </si>
  <si>
    <t>P PRECINCT 17-01</t>
  </si>
  <si>
    <t>P PRECINCT 17-02</t>
  </si>
  <si>
    <t>P PRECINCT 17-03</t>
  </si>
  <si>
    <t>P PRECINCT 17-04</t>
  </si>
  <si>
    <t>P PRECINCT 17-05</t>
  </si>
  <si>
    <t>P PRECINCT 17-06</t>
  </si>
  <si>
    <t>P PRECINCT 17-07</t>
  </si>
  <si>
    <t>P PRECINCT 17-08</t>
  </si>
  <si>
    <t>P PRECINCT 17-09</t>
  </si>
  <si>
    <t>P PRECINCT 17-10</t>
  </si>
  <si>
    <t>P PRECINCT 17-11</t>
  </si>
  <si>
    <t>P PRECINCT 18-01</t>
  </si>
  <si>
    <t>P PRECINCT 18-02</t>
  </si>
  <si>
    <t>P PRECINCT 18-03</t>
  </si>
  <si>
    <t>P PRECINCT 18-04</t>
  </si>
  <si>
    <t>P PRECINCT 18-05</t>
  </si>
  <si>
    <t>P PRECINCT 18-06</t>
  </si>
  <si>
    <t>P PRECINCT 18-07</t>
  </si>
  <si>
    <t>P PRECINCT 18-08</t>
  </si>
  <si>
    <t>P PRECINCT 19-03</t>
  </si>
  <si>
    <t>P PRECINCT 19-04</t>
  </si>
  <si>
    <t>P PRECINCT 19-05</t>
  </si>
  <si>
    <t>P PRECINCT 19-07</t>
  </si>
  <si>
    <t>P PRECINCT 19-09</t>
  </si>
  <si>
    <t>P PRECINCT 19-10</t>
  </si>
  <si>
    <t>P PRECINCT 19-11</t>
  </si>
  <si>
    <t>P PRECINCT 19-12</t>
  </si>
  <si>
    <t>P PRECINCT 19-13</t>
  </si>
  <si>
    <t>P PRECINCT 19-14</t>
  </si>
  <si>
    <t>P PRECINCT 19-15</t>
  </si>
  <si>
    <t>P PRECINCT 19-16</t>
  </si>
  <si>
    <t>P PRECINCT 19-17</t>
  </si>
  <si>
    <t>P PRECINCT 20-01</t>
  </si>
  <si>
    <t>P PRECINCT 20-03</t>
  </si>
  <si>
    <t>P PRECINCT 20-04</t>
  </si>
  <si>
    <t>P PRECINCT 20-05</t>
  </si>
  <si>
    <t>P PRECINCT 20-06A</t>
  </si>
  <si>
    <t>P PRECINCT 20-06B</t>
  </si>
  <si>
    <t>P PRECINCT 20-08</t>
  </si>
  <si>
    <t>P PRECINCT 20-09</t>
  </si>
  <si>
    <t>P PRECINCT 20-10</t>
  </si>
  <si>
    <t>P PRECINCT 20-11</t>
  </si>
  <si>
    <t>P PRECINCT 20-12</t>
  </si>
  <si>
    <t>P PRECINCT 20-14</t>
  </si>
  <si>
    <t>P PRECINCT 20-15</t>
  </si>
  <si>
    <t>P PRECINCT 20-16</t>
  </si>
  <si>
    <t>P PRECINCT 20-17</t>
  </si>
  <si>
    <t>P EAST WARRENTON</t>
  </si>
  <si>
    <t>P FISHING CREEK</t>
  </si>
  <si>
    <t>P FORK</t>
  </si>
  <si>
    <t>P HAWTREE</t>
  </si>
  <si>
    <t>P JUDKINS</t>
  </si>
  <si>
    <t>P NORLINA</t>
  </si>
  <si>
    <t>P NUTBUSH</t>
  </si>
  <si>
    <t>P ROANOKE</t>
  </si>
  <si>
    <t>P SHOCCO</t>
  </si>
  <si>
    <t>P SIXPOUND</t>
  </si>
  <si>
    <t>P SMITH CREEK</t>
  </si>
  <si>
    <t>P WEST WARRENTON</t>
  </si>
  <si>
    <t>P LEES MILL</t>
  </si>
  <si>
    <t>P PLYMOUTH 1</t>
  </si>
  <si>
    <t>P PLYMOUTH 2</t>
  </si>
  <si>
    <t>P PLYMOUTH 3</t>
  </si>
  <si>
    <t>P SKINNERSVILLE</t>
  </si>
  <si>
    <t>P BALD MOUNTAIN</t>
  </si>
  <si>
    <t>P BLOWING ROCK</t>
  </si>
  <si>
    <t>P BLUE RIDGE</t>
  </si>
  <si>
    <t>P BOONE 1</t>
  </si>
  <si>
    <t>P BOONE 2</t>
  </si>
  <si>
    <t>P BOONE 3</t>
  </si>
  <si>
    <t>P BRUSHY FORK</t>
  </si>
  <si>
    <t>P COVE CREEK</t>
  </si>
  <si>
    <t>P LAUREL CREEK</t>
  </si>
  <si>
    <t>P MEAT CAMP</t>
  </si>
  <si>
    <t>P NEW RIVER I</t>
  </si>
  <si>
    <t>P NEW RIVER II</t>
  </si>
  <si>
    <t>P NEW RIVER III</t>
  </si>
  <si>
    <t>P SHAWNEEHAW</t>
  </si>
  <si>
    <t>P STONY FORK</t>
  </si>
  <si>
    <t>P WATAUGA</t>
  </si>
  <si>
    <t>P 11</t>
  </si>
  <si>
    <t>P 30</t>
  </si>
  <si>
    <t>P BOOMER</t>
  </si>
  <si>
    <t>P BRUSHY MOUNTAIN</t>
  </si>
  <si>
    <t>P CRICKET</t>
  </si>
  <si>
    <t>P EDWARDS #1</t>
  </si>
  <si>
    <t>P EDWARDS #2</t>
  </si>
  <si>
    <t>P EDWARDS #3</t>
  </si>
  <si>
    <t>P FAIRPLAINS</t>
  </si>
  <si>
    <t>P FERGUSON</t>
  </si>
  <si>
    <t>P JOBS CABIN</t>
  </si>
  <si>
    <t>P MILLERS CREEK</t>
  </si>
  <si>
    <t>P MORAVIAN FALLS</t>
  </si>
  <si>
    <t>P MOUNT PLEASANT</t>
  </si>
  <si>
    <t>P MULBERRY</t>
  </si>
  <si>
    <t>P MULBERRY #1</t>
  </si>
  <si>
    <t>P NEW CASTLE</t>
  </si>
  <si>
    <t>P NORTH WILKESBORO</t>
  </si>
  <si>
    <t>P REDDIES RIVER</t>
  </si>
  <si>
    <t>P ROCK CREEK #1</t>
  </si>
  <si>
    <t>P ROCK CREEK #2</t>
  </si>
  <si>
    <t>P SOMERS</t>
  </si>
  <si>
    <t>P TRAPHILL #1</t>
  </si>
  <si>
    <t>P TRAPHILL #2</t>
  </si>
  <si>
    <t>P WALNUT GROVE</t>
  </si>
  <si>
    <t>P WILKESBORO #1</t>
  </si>
  <si>
    <t>P WILKESBORO #2</t>
  </si>
  <si>
    <t>P WILKESBORO #3</t>
  </si>
  <si>
    <t>P BLACK CREEK</t>
  </si>
  <si>
    <t>P CROSSROADS</t>
  </si>
  <si>
    <t>P GARDNERS</t>
  </si>
  <si>
    <t>P OLDFIELDS</t>
  </si>
  <si>
    <t>P SARATOGA</t>
  </si>
  <si>
    <t>P SPRING HILL</t>
  </si>
  <si>
    <t>P STANTONSBURG</t>
  </si>
  <si>
    <t>P TAYLORS</t>
  </si>
  <si>
    <t>P TOISNOT</t>
  </si>
  <si>
    <t>P WILSON A</t>
  </si>
  <si>
    <t>P WILSON B</t>
  </si>
  <si>
    <t>P WILSON C</t>
  </si>
  <si>
    <t>P WILSON D</t>
  </si>
  <si>
    <t>P WILSON E</t>
  </si>
  <si>
    <t>P WILSON H</t>
  </si>
  <si>
    <t>P WILSON I</t>
  </si>
  <si>
    <t>P WILSON J</t>
  </si>
  <si>
    <t>P WILSON K</t>
  </si>
  <si>
    <t>P WILSON L</t>
  </si>
  <si>
    <t>P WILSON M</t>
  </si>
  <si>
    <t>P WILSON N</t>
  </si>
  <si>
    <t>P WILSON P</t>
  </si>
  <si>
    <t>P WILSON Q</t>
  </si>
  <si>
    <t>P WILSON R</t>
  </si>
  <si>
    <t>P BOONVILLE</t>
  </si>
  <si>
    <t>P DEEP CREEK</t>
  </si>
  <si>
    <t>P EAST BEND</t>
  </si>
  <si>
    <t>P FORBUSH</t>
  </si>
  <si>
    <t>P NORTH BUCK SHOALS</t>
  </si>
  <si>
    <t>P NORTH FALL CREEK</t>
  </si>
  <si>
    <t>P NORTH KNOBS</t>
  </si>
  <si>
    <t>P NORTH LIBERTY</t>
  </si>
  <si>
    <t>P SOUTH BUCK SHOALS</t>
  </si>
  <si>
    <t>P SOUTH FALL CREEK</t>
  </si>
  <si>
    <t>P SOUTH KNOBS</t>
  </si>
  <si>
    <t>P SOUTH LIBERTY</t>
  </si>
  <si>
    <t>P BRUSH CREEK</t>
  </si>
  <si>
    <t>P CANE RIVER</t>
  </si>
  <si>
    <t>P EGYPT</t>
  </si>
  <si>
    <t>P GREEN MOUNTAIN</t>
  </si>
  <si>
    <t>P JACKS CREEK</t>
  </si>
  <si>
    <t>P PENSACOLA</t>
  </si>
  <si>
    <t>P PRICES CREEK</t>
  </si>
  <si>
    <t>P RAMSEYTOWN</t>
  </si>
  <si>
    <t>P SOUTH TOE</t>
  </si>
  <si>
    <t>Cooper Vote</t>
  </si>
  <si>
    <t>County Conv Vote</t>
  </si>
  <si>
    <t>Votes Per Delegate</t>
  </si>
  <si>
    <t>Delegates Present</t>
  </si>
  <si>
    <t>Prec</t>
  </si>
  <si>
    <t>NCDP County Conventions</t>
  </si>
  <si>
    <t>Chair Name</t>
  </si>
  <si>
    <t>April 8th, 2017</t>
  </si>
  <si>
    <t>Chair</t>
  </si>
  <si>
    <t>Questions or Problems? Email support@ncdp.org</t>
  </si>
  <si>
    <t>Precinct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</si>
</sst>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Franklin Gothic Book"/>
      <family val="2"/>
    </font>
    <font>
      <sz val="16"/>
      <color theme="1"/>
      <name val="Franklin Gothic Book"/>
      <family val="2"/>
    </font>
    <font>
      <sz val="11"/>
      <color theme="1"/>
      <name val="Franklin Gothic Book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2"/>
      <color theme="1"/>
      <name val="Arial"/>
      <family val="2"/>
    </font>
    <font>
      <sz val="11"/>
      <color theme="0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A2551"/>
        <bgColor indexed="64"/>
      </patternFill>
    </fill>
  </fills>
  <borders count="6">
    <border>
      <left/>
      <right/>
      <top/>
      <bottom/>
      <diagonal/>
    </border>
    <border>
      <left/>
      <right style="thick">
        <color rgb="FF1A2551"/>
      </right>
      <top/>
      <bottom/>
      <diagonal/>
    </border>
    <border>
      <left/>
      <right/>
      <top/>
      <bottom style="thick">
        <color rgb="FF1A2551"/>
      </bottom>
      <diagonal/>
    </border>
    <border>
      <left style="thick">
        <color rgb="FF1A2551"/>
      </left>
      <right/>
      <top/>
      <bottom style="thick">
        <color rgb="FF1A2551"/>
      </bottom>
      <diagonal/>
    </border>
    <border>
      <left/>
      <right style="thick">
        <color rgb="FF1A2551"/>
      </right>
      <top/>
      <bottom style="thick">
        <color rgb="FF1A2551"/>
      </bottom>
      <diagonal/>
    </border>
    <border>
      <left style="thick">
        <color rgb="FF1A2551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Fill="1"/>
    <xf numFmtId="0" fontId="0" fillId="0" borderId="0" xfId="0" applyFill="1" applyAlignment="1"/>
    <xf numFmtId="0" fontId="3" fillId="0" borderId="0" xfId="0" applyFont="1" applyFill="1" applyAlignment="1"/>
    <xf numFmtId="164" fontId="3" fillId="0" borderId="0" xfId="1" applyNumberFormat="1" applyFont="1" applyFill="1" applyAlignment="1"/>
    <xf numFmtId="0" fontId="2" fillId="2" borderId="0" xfId="0" applyFont="1" applyFill="1" applyAlignment="1"/>
    <xf numFmtId="164" fontId="2" fillId="2" borderId="0" xfId="1" applyNumberFormat="1" applyFont="1" applyFill="1" applyAlignment="1"/>
    <xf numFmtId="164" fontId="2" fillId="2" borderId="0" xfId="0" applyNumberFormat="1" applyFont="1" applyFill="1"/>
    <xf numFmtId="164" fontId="2" fillId="2" borderId="0" xfId="1" applyNumberFormat="1" applyFont="1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Border="1"/>
    <xf numFmtId="0" fontId="11" fillId="0" borderId="0" xfId="0" applyFont="1" applyBorder="1"/>
    <xf numFmtId="0" fontId="9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 wrapText="1"/>
    </xf>
    <xf numFmtId="43" fontId="0" fillId="0" borderId="0" xfId="1" applyNumberFormat="1" applyFont="1"/>
    <xf numFmtId="43" fontId="0" fillId="0" borderId="0" xfId="0" applyNumberFormat="1"/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center" vertical="center"/>
    </xf>
    <xf numFmtId="0" fontId="7" fillId="0" borderId="0" xfId="0" applyFont="1" applyAlignment="1"/>
    <xf numFmtId="0" fontId="9" fillId="2" borderId="2" xfId="0" applyFont="1" applyFill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/>
    <xf numFmtId="0" fontId="9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</cellXfs>
  <cellStyles count="2">
    <cellStyle name="Comma" xfId="1" builtinId="3"/>
    <cellStyle name="Normal" xfId="0" builtinId="0" customBuiltin="1"/>
  </cellStyles>
  <dxfs count="0"/>
  <tableStyles count="0" defaultTableStyle="TableStyleMedium2" defaultPivotStyle="PivotStyleLight16"/>
  <colors>
    <mruColors>
      <color rgb="FF1A25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4</xdr:row>
      <xdr:rowOff>0</xdr:rowOff>
    </xdr:from>
    <xdr:to>
      <xdr:col>0</xdr:col>
      <xdr:colOff>666750</xdr:colOff>
      <xdr:row>6</xdr:row>
      <xdr:rowOff>0</xdr:rowOff>
    </xdr:to>
    <xdr:pic>
      <xdr:nvPicPr>
        <xdr:cNvPr id="2" name="Graphic 1" descr="Lectur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" y="762000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238126</xdr:colOff>
      <xdr:row>6</xdr:row>
      <xdr:rowOff>66675</xdr:rowOff>
    </xdr:from>
    <xdr:to>
      <xdr:col>0</xdr:col>
      <xdr:colOff>666750</xdr:colOff>
      <xdr:row>8</xdr:row>
      <xdr:rowOff>95249</xdr:rowOff>
    </xdr:to>
    <xdr:pic>
      <xdr:nvPicPr>
        <xdr:cNvPr id="4" name="Graphic 3" descr="Stopwatch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8126" y="1266825"/>
          <a:ext cx="428624" cy="428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13</xdr:row>
          <xdr:rowOff>182880</xdr:rowOff>
        </xdr:from>
        <xdr:to>
          <xdr:col>8</xdr:col>
          <xdr:colOff>0</xdr:colOff>
          <xdr:row>15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Ballot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6"/>
  <sheetViews>
    <sheetView tabSelected="1" workbookViewId="0">
      <selection activeCell="H20" sqref="H20"/>
    </sheetView>
  </sheetViews>
  <sheetFormatPr defaultRowHeight="14.4" x14ac:dyDescent="0.3"/>
  <cols>
    <col min="1" max="1" width="11" customWidth="1"/>
    <col min="2" max="2" width="24.44140625" bestFit="1" customWidth="1"/>
    <col min="3" max="3" width="13" customWidth="1"/>
    <col min="4" max="4" width="9.109375" customWidth="1"/>
    <col min="5" max="5" width="13.88671875" customWidth="1"/>
    <col min="6" max="6" width="15.6640625" customWidth="1"/>
    <col min="7" max="7" width="7.88671875" customWidth="1"/>
    <col min="8" max="8" width="33.33203125" customWidth="1"/>
    <col min="9" max="9" width="7" customWidth="1"/>
    <col min="10" max="10" width="10" customWidth="1"/>
  </cols>
  <sheetData>
    <row r="1" spans="1:20" x14ac:dyDescent="0.3">
      <c r="A1" s="31" t="s">
        <v>2679</v>
      </c>
      <c r="B1" s="32"/>
      <c r="C1" s="32"/>
      <c r="D1" s="32"/>
      <c r="E1" s="32"/>
      <c r="F1" s="32"/>
      <c r="G1" s="32"/>
      <c r="H1" s="33"/>
      <c r="I1" s="33"/>
      <c r="J1" s="33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32"/>
      <c r="B2" s="32"/>
      <c r="C2" s="32"/>
      <c r="D2" s="32"/>
      <c r="E2" s="32"/>
      <c r="F2" s="32"/>
      <c r="G2" s="32"/>
      <c r="H2" s="33"/>
      <c r="I2" s="33"/>
      <c r="J2" s="33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3">
      <c r="A3" s="32"/>
      <c r="B3" s="32"/>
      <c r="C3" s="32"/>
      <c r="D3" s="32"/>
      <c r="E3" s="32"/>
      <c r="F3" s="32"/>
      <c r="G3" s="32"/>
      <c r="H3" s="33"/>
      <c r="I3" s="33"/>
      <c r="J3" s="33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3">
      <c r="A4" s="13"/>
      <c r="B4" s="13"/>
      <c r="C4" s="13"/>
      <c r="D4" s="13"/>
      <c r="E4" s="13"/>
      <c r="F4" s="13"/>
      <c r="G4" s="13"/>
      <c r="H4" s="13"/>
      <c r="I4" s="13"/>
      <c r="J4" s="13"/>
    </row>
    <row r="5" spans="1:20" ht="15" thickBot="1" x14ac:dyDescent="0.35">
      <c r="A5" s="25"/>
      <c r="B5" s="34" t="s">
        <v>2680</v>
      </c>
      <c r="C5" s="35"/>
      <c r="D5" s="21"/>
      <c r="E5" s="15"/>
      <c r="F5" s="15"/>
      <c r="G5" s="13"/>
      <c r="H5" s="26" t="s">
        <v>0</v>
      </c>
      <c r="I5" s="26"/>
      <c r="J5" s="13"/>
    </row>
    <row r="6" spans="1:20" ht="15" thickTop="1" x14ac:dyDescent="0.3">
      <c r="A6" s="25"/>
      <c r="B6" s="35"/>
      <c r="C6" s="35"/>
      <c r="D6" s="21"/>
      <c r="E6" s="15"/>
      <c r="F6" s="15"/>
      <c r="G6" s="13"/>
      <c r="H6" s="27" t="s">
        <v>83</v>
      </c>
      <c r="I6" s="28"/>
      <c r="J6" s="13"/>
    </row>
    <row r="7" spans="1:20" ht="15" thickBot="1" x14ac:dyDescent="0.35">
      <c r="A7" s="13"/>
      <c r="B7" s="13"/>
      <c r="C7" s="13"/>
      <c r="D7" s="13"/>
      <c r="E7" s="15"/>
      <c r="F7" s="15"/>
      <c r="G7" s="13"/>
      <c r="H7" s="29"/>
      <c r="I7" s="30"/>
      <c r="J7" s="13"/>
    </row>
    <row r="8" spans="1:20" ht="15" thickTop="1" x14ac:dyDescent="0.3">
      <c r="A8" s="25"/>
      <c r="B8" s="23" t="s">
        <v>2681</v>
      </c>
      <c r="C8" s="22"/>
      <c r="D8" s="22"/>
      <c r="E8" s="15"/>
      <c r="F8" s="16">
        <f>COUNTIF(Dcol,District)</f>
        <v>16</v>
      </c>
      <c r="G8" s="13"/>
      <c r="H8" s="13"/>
      <c r="I8" s="13"/>
      <c r="J8" s="13"/>
    </row>
    <row r="9" spans="1:20" x14ac:dyDescent="0.3">
      <c r="A9" s="25"/>
      <c r="B9" s="36"/>
      <c r="C9" s="25"/>
      <c r="D9" s="14"/>
      <c r="E9" s="13"/>
      <c r="F9" s="13"/>
      <c r="G9" s="13"/>
      <c r="H9" s="13"/>
      <c r="I9" s="13"/>
      <c r="J9" s="13"/>
    </row>
    <row r="10" spans="1:20" x14ac:dyDescent="0.3">
      <c r="A10" s="13"/>
      <c r="B10" s="25"/>
      <c r="C10" s="25"/>
      <c r="D10" s="13"/>
      <c r="E10" s="13"/>
      <c r="F10" s="13"/>
      <c r="G10" s="13"/>
      <c r="H10" s="17" t="s">
        <v>3</v>
      </c>
      <c r="I10" s="13"/>
      <c r="J10" s="13"/>
    </row>
    <row r="11" spans="1:20" x14ac:dyDescent="0.3">
      <c r="B11" s="24" t="s">
        <v>2683</v>
      </c>
      <c r="C11" s="24"/>
      <c r="D11" s="24"/>
      <c r="E11" s="24"/>
      <c r="H11" s="11">
        <v>4</v>
      </c>
    </row>
    <row r="12" spans="1:20" x14ac:dyDescent="0.3">
      <c r="B12" s="24"/>
      <c r="C12" s="24"/>
      <c r="D12" s="24"/>
      <c r="E12" s="24"/>
      <c r="H12" s="10" t="s">
        <v>4</v>
      </c>
    </row>
    <row r="13" spans="1:20" x14ac:dyDescent="0.3">
      <c r="H13" s="11" t="s">
        <v>2682</v>
      </c>
    </row>
    <row r="15" spans="1:20" ht="48.75" customHeight="1" x14ac:dyDescent="0.3">
      <c r="B15" s="18" t="s">
        <v>2684</v>
      </c>
      <c r="C15" s="18" t="s">
        <v>2674</v>
      </c>
      <c r="D15" s="18" t="s">
        <v>2675</v>
      </c>
      <c r="E15" s="18" t="s">
        <v>2676</v>
      </c>
      <c r="F15" s="18" t="s">
        <v>2677</v>
      </c>
    </row>
    <row r="16" spans="1:20" x14ac:dyDescent="0.3">
      <c r="B16" s="3" t="str">
        <f t="array" ref="B16">IF(ISERROR(INDEX(votes,SMALL(IF(DColumn=District,ROW(DColumn)),ROW(Sheet2!1:1)),2)),"",INDEX(votes,SMALL(IF(DColumn=District,ROW(DColumn)),ROW(Sheet2!1:1)),2))</f>
        <v>P BEAVER DAM #1</v>
      </c>
      <c r="C16" s="4">
        <f t="array" ref="C16">IF(ISERROR(INDEX(votes,SMALL(IF(DColumn=District,ROW(DColumn)),ROW(Sheet2!1:1)),3)),"",INDEX(votes,SMALL(IF(DColumn=District,ROW(DColumn)),ROW(Sheet2!1:1)),3))</f>
        <v>356</v>
      </c>
      <c r="D16" s="4">
        <f t="array" ref="D16">IF(ISERROR(INDEX(votes,SMALL(IF(DColumn=District,ROW(DColumn)),ROW(Sheet2!1:1)),4)),"",INDEX(votes,SMALL(IF(DColumn=District,ROW(DColumn)),ROW(Sheet2!1:1)),4))</f>
        <v>4</v>
      </c>
      <c r="E16" s="19">
        <f t="shared" ref="E16:E79" si="0">IFERROR(IF(F16=0,0,IF(ISBLANK(F16),D16/2,D16/F16)),"")</f>
        <v>0</v>
      </c>
      <c r="F16">
        <v>0</v>
      </c>
    </row>
    <row r="17" spans="2:6" x14ac:dyDescent="0.3">
      <c r="B17" s="3" t="str">
        <f t="array" ref="B17">IF(ISERROR(INDEX(votes,SMALL(IF(DColumn=District,ROW(DColumn)),ROW(Sheet2!2:2)),2)),"",INDEX(votes,SMALL(IF(DColumn=District,ROW(DColumn)),ROW(Sheet2!2:2)),2))</f>
        <v>P BEAVER DAM #2</v>
      </c>
      <c r="C17" s="4">
        <f t="array" ref="C17">IF(ISERROR(INDEX(votes,SMALL(IF(DColumn=District,ROW(DColumn)),ROW(Sheet2!2:2)),3)),"",INDEX(votes,SMALL(IF(DColumn=District,ROW(DColumn)),ROW(Sheet2!2:2)),3))</f>
        <v>357</v>
      </c>
      <c r="D17" s="4">
        <f t="array" ref="D17">IF(ISERROR(INDEX(votes,SMALL(IF(DColumn=District,ROW(DColumn)),ROW(Sheet2!2:2)),4)),"",INDEX(votes,SMALL(IF(DColumn=District,ROW(DColumn)),ROW(Sheet2!2:2)),4))</f>
        <v>4</v>
      </c>
      <c r="E17" s="19">
        <f t="shared" si="0"/>
        <v>0</v>
      </c>
      <c r="F17">
        <v>0</v>
      </c>
    </row>
    <row r="18" spans="2:6" x14ac:dyDescent="0.3">
      <c r="B18" s="3" t="str">
        <f t="array" ref="B18">IF(ISERROR(INDEX(votes,SMALL(IF(DColumn=District,ROW(DColumn)),ROW(Sheet2!3:3)),2)),"",INDEX(votes,SMALL(IF(DColumn=District,ROW(DColumn)),ROW(Sheet2!3:3)),2))</f>
        <v>P BLACK JACK #1</v>
      </c>
      <c r="C18" s="4">
        <f t="array" ref="C18">IF(ISERROR(INDEX(votes,SMALL(IF(DColumn=District,ROW(DColumn)),ROW(Sheet2!3:3)),3)),"",INDEX(votes,SMALL(IF(DColumn=District,ROW(DColumn)),ROW(Sheet2!3:3)),3))</f>
        <v>44</v>
      </c>
      <c r="D18" s="4">
        <f t="array" ref="D18">IF(ISERROR(INDEX(votes,SMALL(IF(DColumn=District,ROW(DColumn)),ROW(Sheet2!3:3)),4)),"",INDEX(votes,SMALL(IF(DColumn=District,ROW(DColumn)),ROW(Sheet2!3:3)),4))</f>
        <v>1</v>
      </c>
      <c r="E18" s="19">
        <f t="shared" si="0"/>
        <v>0</v>
      </c>
      <c r="F18">
        <v>0</v>
      </c>
    </row>
    <row r="19" spans="2:6" x14ac:dyDescent="0.3">
      <c r="B19" s="3" t="str">
        <f t="array" ref="B19">IF(ISERROR(INDEX(votes,SMALL(IF(DColumn=District,ROW(DColumn)),ROW(Sheet2!4:4)),2)),"",INDEX(votes,SMALL(IF(DColumn=District,ROW(DColumn)),ROW(Sheet2!4:4)),2))</f>
        <v>P MARKS CREEK #1</v>
      </c>
      <c r="C19" s="4">
        <f t="array" ref="C19">IF(ISERROR(INDEX(votes,SMALL(IF(DColumn=District,ROW(DColumn)),ROW(Sheet2!4:4)),3)),"",INDEX(votes,SMALL(IF(DColumn=District,ROW(DColumn)),ROW(Sheet2!4:4)),3))</f>
        <v>1385</v>
      </c>
      <c r="D19" s="4">
        <f t="array" ref="D19">IF(ISERROR(INDEX(votes,SMALL(IF(DColumn=District,ROW(DColumn)),ROW(Sheet2!4:4)),4)),"",INDEX(votes,SMALL(IF(DColumn=District,ROW(DColumn)),ROW(Sheet2!4:4)),4))</f>
        <v>14</v>
      </c>
      <c r="E19" s="19">
        <f t="shared" si="0"/>
        <v>0</v>
      </c>
      <c r="F19">
        <v>0</v>
      </c>
    </row>
    <row r="20" spans="2:6" x14ac:dyDescent="0.3">
      <c r="B20" s="3" t="str">
        <f t="array" ref="B20">IF(ISERROR(INDEX(votes,SMALL(IF(DColumn=District,ROW(DColumn)),ROW(Sheet2!5:5)),2)),"",INDEX(votes,SMALL(IF(DColumn=District,ROW(DColumn)),ROW(Sheet2!5:5)),2))</f>
        <v>P MARKS CREEK #2</v>
      </c>
      <c r="C20" s="4">
        <f t="array" ref="C20">IF(ISERROR(INDEX(votes,SMALL(IF(DColumn=District,ROW(DColumn)),ROW(Sheet2!5:5)),3)),"",INDEX(votes,SMALL(IF(DColumn=District,ROW(DColumn)),ROW(Sheet2!5:5)),3))</f>
        <v>1467</v>
      </c>
      <c r="D20" s="4">
        <f t="array" ref="D20">IF(ISERROR(INDEX(votes,SMALL(IF(DColumn=District,ROW(DColumn)),ROW(Sheet2!5:5)),4)),"",INDEX(votes,SMALL(IF(DColumn=District,ROW(DColumn)),ROW(Sheet2!5:5)),4))</f>
        <v>15</v>
      </c>
      <c r="E20" s="19">
        <f t="shared" ref="E20" si="1">IFERROR(IF(F20=0,0,IF(ISBLANK(F20),D20/2,D20/F20)),"")</f>
        <v>0</v>
      </c>
      <c r="F20">
        <v>0</v>
      </c>
    </row>
    <row r="21" spans="2:6" x14ac:dyDescent="0.3">
      <c r="B21" s="3" t="str">
        <f t="array" ref="B21">IF(ISERROR(INDEX(votes,SMALL(IF(DColumn=District,ROW(DColumn)),ROW(Sheet2!6:6)),2)),"",INDEX(votes,SMALL(IF(DColumn=District,ROW(DColumn)),ROW(Sheet2!6:6)),2))</f>
        <v>P MINERAL SPRINGS #1</v>
      </c>
      <c r="C21" s="4">
        <f t="array" ref="C21">IF(ISERROR(INDEX(votes,SMALL(IF(DColumn=District,ROW(DColumn)),ROW(Sheet2!6:6)),3)),"",INDEX(votes,SMALL(IF(DColumn=District,ROW(DColumn)),ROW(Sheet2!6:6)),3))</f>
        <v>494</v>
      </c>
      <c r="D21" s="4">
        <f t="array" ref="D21">IF(ISERROR(INDEX(votes,SMALL(IF(DColumn=District,ROW(DColumn)),ROW(Sheet2!6:6)),4)),"",INDEX(votes,SMALL(IF(DColumn=District,ROW(DColumn)),ROW(Sheet2!6:6)),4))</f>
        <v>5</v>
      </c>
      <c r="E21" s="19">
        <f t="shared" si="0"/>
        <v>0</v>
      </c>
      <c r="F21">
        <v>0</v>
      </c>
    </row>
    <row r="22" spans="2:6" x14ac:dyDescent="0.3">
      <c r="B22" s="3" t="str">
        <f t="array" ref="B22">IF(ISERROR(INDEX(votes,SMALL(IF(DColumn=District,ROW(DColumn)),ROW(Sheet2!7:7)),2)),"",INDEX(votes,SMALL(IF(DColumn=District,ROW(DColumn)),ROW(Sheet2!7:7)),2))</f>
        <v>P MINERAL SPRINGS #2</v>
      </c>
      <c r="C22" s="4">
        <f t="array" ref="C22">IF(ISERROR(INDEX(votes,SMALL(IF(DColumn=District,ROW(DColumn)),ROW(Sheet2!7:7)),3)),"",INDEX(votes,SMALL(IF(DColumn=District,ROW(DColumn)),ROW(Sheet2!7:7)),3))</f>
        <v>243</v>
      </c>
      <c r="D22" s="4">
        <f t="array" ref="D22">IF(ISERROR(INDEX(votes,SMALL(IF(DColumn=District,ROW(DColumn)),ROW(Sheet2!7:7)),4)),"",INDEX(votes,SMALL(IF(DColumn=District,ROW(DColumn)),ROW(Sheet2!7:7)),4))</f>
        <v>2</v>
      </c>
      <c r="E22" s="19">
        <f t="shared" si="0"/>
        <v>0</v>
      </c>
      <c r="F22">
        <v>0</v>
      </c>
    </row>
    <row r="23" spans="2:6" x14ac:dyDescent="0.3">
      <c r="B23" s="3" t="str">
        <f t="array" ref="B23">IF(ISERROR(INDEX(votes,SMALL(IF(DColumn=District,ROW(DColumn)),ROW(Sheet2!8:8)),2)),"",INDEX(votes,SMALL(IF(DColumn=District,ROW(DColumn)),ROW(Sheet2!8:8)),2))</f>
        <v>P ROCKINGHAM #1</v>
      </c>
      <c r="C23" s="4">
        <f t="array" ref="C23">IF(ISERROR(INDEX(votes,SMALL(IF(DColumn=District,ROW(DColumn)),ROW(Sheet2!8:8)),3)),"",INDEX(votes,SMALL(IF(DColumn=District,ROW(DColumn)),ROW(Sheet2!8:8)),3))</f>
        <v>1758</v>
      </c>
      <c r="D23" s="4">
        <f t="array" ref="D23">IF(ISERROR(INDEX(votes,SMALL(IF(DColumn=District,ROW(DColumn)),ROW(Sheet2!8:8)),4)),"",INDEX(votes,SMALL(IF(DColumn=District,ROW(DColumn)),ROW(Sheet2!8:8)),4))</f>
        <v>18</v>
      </c>
      <c r="E23" s="19">
        <f t="shared" si="0"/>
        <v>0</v>
      </c>
      <c r="F23">
        <v>0</v>
      </c>
    </row>
    <row r="24" spans="2:6" x14ac:dyDescent="0.3">
      <c r="B24" s="3" t="str">
        <f t="array" ref="B24">IF(ISERROR(INDEX(votes,SMALL(IF(DColumn=District,ROW(DColumn)),ROW(Sheet2!9:9)),2)),"",INDEX(votes,SMALL(IF(DColumn=District,ROW(DColumn)),ROW(Sheet2!9:9)),2))</f>
        <v>P ROCKINGHAM #2</v>
      </c>
      <c r="C24" s="4">
        <f t="array" ref="C24">IF(ISERROR(INDEX(votes,SMALL(IF(DColumn=District,ROW(DColumn)),ROW(Sheet2!9:9)),3)),"",INDEX(votes,SMALL(IF(DColumn=District,ROW(DColumn)),ROW(Sheet2!9:9)),3))</f>
        <v>1402</v>
      </c>
      <c r="D24" s="4">
        <f t="array" ref="D24">IF(ISERROR(INDEX(votes,SMALL(IF(DColumn=District,ROW(DColumn)),ROW(Sheet2!9:9)),4)),"",INDEX(votes,SMALL(IF(DColumn=District,ROW(DColumn)),ROW(Sheet2!9:9)),4))</f>
        <v>14</v>
      </c>
      <c r="E24" s="19">
        <f t="shared" ref="E24" si="2">IFERROR(IF(F24=0,0,IF(ISBLANK(F24),D24/2,D24/F24)),"")</f>
        <v>0</v>
      </c>
      <c r="F24">
        <v>0</v>
      </c>
    </row>
    <row r="25" spans="2:6" x14ac:dyDescent="0.3">
      <c r="B25" s="3" t="str">
        <f t="array" ref="B25">IF(ISERROR(INDEX(votes,SMALL(IF(DColumn=District,ROW(DColumn)),ROW(Sheet2!10:10)),2)),"",INDEX(votes,SMALL(IF(DColumn=District,ROW(DColumn)),ROW(Sheet2!10:10)),2))</f>
        <v>P ROCKINGHAM #3</v>
      </c>
      <c r="C25" s="4">
        <f t="array" ref="C25">IF(ISERROR(INDEX(votes,SMALL(IF(DColumn=District,ROW(DColumn)),ROW(Sheet2!10:10)),3)),"",INDEX(votes,SMALL(IF(DColumn=District,ROW(DColumn)),ROW(Sheet2!10:10)),3))</f>
        <v>175</v>
      </c>
      <c r="D25" s="4">
        <f t="array" ref="D25">IF(ISERROR(INDEX(votes,SMALL(IF(DColumn=District,ROW(DColumn)),ROW(Sheet2!10:10)),4)),"",INDEX(votes,SMALL(IF(DColumn=District,ROW(DColumn)),ROW(Sheet2!10:10)),4))</f>
        <v>2</v>
      </c>
      <c r="E25" s="19">
        <f t="shared" si="0"/>
        <v>0</v>
      </c>
      <c r="F25">
        <v>0</v>
      </c>
    </row>
    <row r="26" spans="2:6" x14ac:dyDescent="0.3">
      <c r="B26" s="3" t="str">
        <f t="array" ref="B26">IF(ISERROR(INDEX(votes,SMALL(IF(DColumn=District,ROW(DColumn)),ROW(Sheet2!11:11)),2)),"",INDEX(votes,SMALL(IF(DColumn=District,ROW(DColumn)),ROW(Sheet2!11:11)),2))</f>
        <v>P STEELES #1</v>
      </c>
      <c r="C26" s="4">
        <f t="array" ref="C26">IF(ISERROR(INDEX(votes,SMALL(IF(DColumn=District,ROW(DColumn)),ROW(Sheet2!11:11)),3)),"",INDEX(votes,SMALL(IF(DColumn=District,ROW(DColumn)),ROW(Sheet2!11:11)),3))</f>
        <v>67</v>
      </c>
      <c r="D26" s="4">
        <f t="array" ref="D26">IF(ISERROR(INDEX(votes,SMALL(IF(DColumn=District,ROW(DColumn)),ROW(Sheet2!11:11)),4)),"",INDEX(votes,SMALL(IF(DColumn=District,ROW(DColumn)),ROW(Sheet2!11:11)),4))</f>
        <v>1</v>
      </c>
      <c r="E26" s="19">
        <f t="shared" si="0"/>
        <v>0</v>
      </c>
      <c r="F26">
        <v>0</v>
      </c>
    </row>
    <row r="27" spans="2:6" x14ac:dyDescent="0.3">
      <c r="B27" s="3" t="str">
        <f t="array" ref="B27">IF(ISERROR(INDEX(votes,SMALL(IF(DColumn=District,ROW(DColumn)),ROW(Sheet2!12:12)),2)),"",INDEX(votes,SMALL(IF(DColumn=District,ROW(DColumn)),ROW(Sheet2!12:12)),2))</f>
        <v>P STEELES #2</v>
      </c>
      <c r="C27" s="4">
        <f t="array" ref="C27">IF(ISERROR(INDEX(votes,SMALL(IF(DColumn=District,ROW(DColumn)),ROW(Sheet2!12:12)),3)),"",INDEX(votes,SMALL(IF(DColumn=District,ROW(DColumn)),ROW(Sheet2!12:12)),3))</f>
        <v>36</v>
      </c>
      <c r="D27" s="4">
        <f t="array" ref="D27">IF(ISERROR(INDEX(votes,SMALL(IF(DColumn=District,ROW(DColumn)),ROW(Sheet2!12:12)),4)),"",INDEX(votes,SMALL(IF(DColumn=District,ROW(DColumn)),ROW(Sheet2!12:12)),4))</f>
        <v>1</v>
      </c>
      <c r="E27" s="19">
        <f t="shared" si="0"/>
        <v>0</v>
      </c>
      <c r="F27">
        <v>0</v>
      </c>
    </row>
    <row r="28" spans="2:6" x14ac:dyDescent="0.3">
      <c r="B28" s="3" t="str">
        <f t="array" ref="B28">IF(ISERROR(INDEX(votes,SMALL(IF(DColumn=District,ROW(DColumn)),ROW(Sheet2!13:13)),2)),"",INDEX(votes,SMALL(IF(DColumn=District,ROW(DColumn)),ROW(Sheet2!13:13)),2))</f>
        <v>P WOLF PIT #1</v>
      </c>
      <c r="C28" s="4">
        <f t="array" ref="C28">IF(ISERROR(INDEX(votes,SMALL(IF(DColumn=District,ROW(DColumn)),ROW(Sheet2!13:13)),3)),"",INDEX(votes,SMALL(IF(DColumn=District,ROW(DColumn)),ROW(Sheet2!13:13)),3))</f>
        <v>481</v>
      </c>
      <c r="D28" s="4">
        <f t="array" ref="D28">IF(ISERROR(INDEX(votes,SMALL(IF(DColumn=District,ROW(DColumn)),ROW(Sheet2!13:13)),4)),"",INDEX(votes,SMALL(IF(DColumn=District,ROW(DColumn)),ROW(Sheet2!13:13)),4))</f>
        <v>5</v>
      </c>
      <c r="E28" s="19">
        <f t="shared" si="0"/>
        <v>0</v>
      </c>
      <c r="F28">
        <v>0</v>
      </c>
    </row>
    <row r="29" spans="2:6" x14ac:dyDescent="0.3">
      <c r="B29" s="3" t="str">
        <f t="array" ref="B29">IF(ISERROR(INDEX(votes,SMALL(IF(DColumn=District,ROW(DColumn)),ROW(Sheet2!14:14)),2)),"",INDEX(votes,SMALL(IF(DColumn=District,ROW(DColumn)),ROW(Sheet2!14:14)),2))</f>
        <v>P WOLF PIT #2</v>
      </c>
      <c r="C29" s="4">
        <f t="array" ref="C29">IF(ISERROR(INDEX(votes,SMALL(IF(DColumn=District,ROW(DColumn)),ROW(Sheet2!14:14)),3)),"",INDEX(votes,SMALL(IF(DColumn=District,ROW(DColumn)),ROW(Sheet2!14:14)),3))</f>
        <v>126</v>
      </c>
      <c r="D29" s="4">
        <f t="array" ref="D29">IF(ISERROR(INDEX(votes,SMALL(IF(DColumn=District,ROW(DColumn)),ROW(Sheet2!14:14)),4)),"",INDEX(votes,SMALL(IF(DColumn=District,ROW(DColumn)),ROW(Sheet2!14:14)),4))</f>
        <v>1</v>
      </c>
      <c r="E29" s="19">
        <f t="shared" si="0"/>
        <v>0</v>
      </c>
      <c r="F29">
        <v>0</v>
      </c>
    </row>
    <row r="30" spans="2:6" x14ac:dyDescent="0.3">
      <c r="B30" s="3" t="str">
        <f t="array" ref="B30">IF(ISERROR(INDEX(votes,SMALL(IF(DColumn=District,ROW(DColumn)),ROW(Sheet2!15:15)),2)),"",INDEX(votes,SMALL(IF(DColumn=District,ROW(DColumn)),ROW(Sheet2!15:15)),2))</f>
        <v>P WOLF PIT #3</v>
      </c>
      <c r="C30" s="4">
        <f t="array" ref="C30">IF(ISERROR(INDEX(votes,SMALL(IF(DColumn=District,ROW(DColumn)),ROW(Sheet2!15:15)),3)),"",INDEX(votes,SMALL(IF(DColumn=District,ROW(DColumn)),ROW(Sheet2!15:15)),3))</f>
        <v>254</v>
      </c>
      <c r="D30" s="4">
        <f t="array" ref="D30">IF(ISERROR(INDEX(votes,SMALL(IF(DColumn=District,ROW(DColumn)),ROW(Sheet2!15:15)),4)),"",INDEX(votes,SMALL(IF(DColumn=District,ROW(DColumn)),ROW(Sheet2!15:15)),4))</f>
        <v>3</v>
      </c>
      <c r="E30" s="19">
        <f t="shared" si="0"/>
        <v>0</v>
      </c>
      <c r="F30">
        <v>0</v>
      </c>
    </row>
    <row r="31" spans="2:6" x14ac:dyDescent="0.3">
      <c r="B31" s="3" t="str">
        <f t="array" ref="B31">IF(ISERROR(INDEX(votes,SMALL(IF(DColumn=District,ROW(DColumn)),ROW(Sheet2!16:16)),2)),"",INDEX(votes,SMALL(IF(DColumn=District,ROW(DColumn)),ROW(Sheet2!16:16)),2))</f>
        <v>P WOLF PIT #4</v>
      </c>
      <c r="C31" s="4">
        <f t="array" ref="C31">IF(ISERROR(INDEX(votes,SMALL(IF(DColumn=District,ROW(DColumn)),ROW(Sheet2!16:16)),3)),"",INDEX(votes,SMALL(IF(DColumn=District,ROW(DColumn)),ROW(Sheet2!16:16)),3))</f>
        <v>303</v>
      </c>
      <c r="D31" s="4">
        <f t="array" ref="D31">IF(ISERROR(INDEX(votes,SMALL(IF(DColumn=District,ROW(DColumn)),ROW(Sheet2!16:16)),4)),"",INDEX(votes,SMALL(IF(DColumn=District,ROW(DColumn)),ROW(Sheet2!16:16)),4))</f>
        <v>3</v>
      </c>
      <c r="E31" s="19">
        <f t="shared" si="0"/>
        <v>0</v>
      </c>
      <c r="F31">
        <v>0</v>
      </c>
    </row>
    <row r="32" spans="2:6" x14ac:dyDescent="0.3">
      <c r="B32" s="3" t="str">
        <f t="array" ref="B32">IF(ISERROR(INDEX(votes,SMALL(IF(DColumn=District,ROW(DColumn)),ROW(Sheet2!17:17)),2)),"",INDEX(votes,SMALL(IF(DColumn=District,ROW(DColumn)),ROW(Sheet2!17:17)),2))</f>
        <v/>
      </c>
      <c r="C32" s="3" t="str">
        <f t="array" ref="C32">IF(ISERROR(INDEX(votes,SMALL(IF(DColumn=District,ROW(DColumn)),ROW(Sheet2!17:17)),3)),"",INDEX(votes,SMALL(IF(DColumn=District,ROW(DColumn)),ROW(Sheet2!17:17)),3))</f>
        <v/>
      </c>
      <c r="D32" s="4" t="str">
        <f t="array" ref="D32">IF(ISERROR(INDEX(votes,SMALL(IF(DColumn=District,ROW(DColumn)),ROW(Sheet2!17:17)),4)),"",INDEX(votes,SMALL(IF(DColumn=District,ROW(DColumn)),ROW(Sheet2!17:17)),4))</f>
        <v/>
      </c>
      <c r="E32" s="19">
        <f t="shared" si="0"/>
        <v>0</v>
      </c>
      <c r="F32">
        <v>0</v>
      </c>
    </row>
    <row r="33" spans="2:6" x14ac:dyDescent="0.3">
      <c r="B33" s="3" t="str">
        <f t="array" ref="B33">IF(ISERROR(INDEX(votes,SMALL(IF(DColumn=District,ROW(DColumn)),ROW(Sheet2!18:18)),2)),"",INDEX(votes,SMALL(IF(DColumn=District,ROW(DColumn)),ROW(Sheet2!18:18)),2))</f>
        <v/>
      </c>
      <c r="C33" s="3" t="str">
        <f t="array" ref="C33">IF(ISERROR(INDEX(votes,SMALL(IF(DColumn=District,ROW(DColumn)),ROW(Sheet2!18:18)),3)),"",INDEX(votes,SMALL(IF(DColumn=District,ROW(DColumn)),ROW(Sheet2!18:18)),3))</f>
        <v/>
      </c>
      <c r="D33" s="4" t="str">
        <f t="array" ref="D33">IF(ISERROR(INDEX(votes,SMALL(IF(DColumn=District,ROW(DColumn)),ROW(Sheet2!18:18)),4)),"",INDEX(votes,SMALL(IF(DColumn=District,ROW(DColumn)),ROW(Sheet2!18:18)),4))</f>
        <v/>
      </c>
      <c r="E33" s="19">
        <f t="shared" si="0"/>
        <v>0</v>
      </c>
      <c r="F33">
        <v>0</v>
      </c>
    </row>
    <row r="34" spans="2:6" x14ac:dyDescent="0.3">
      <c r="B34" s="3" t="str">
        <f t="array" ref="B34">IF(ISERROR(INDEX(votes,SMALL(IF(DColumn=District,ROW(DColumn)),ROW(Sheet2!19:19)),2)),"",INDEX(votes,SMALL(IF(DColumn=District,ROW(DColumn)),ROW(Sheet2!19:19)),2))</f>
        <v/>
      </c>
      <c r="C34" s="3" t="str">
        <f t="array" ref="C34">IF(ISERROR(INDEX(votes,SMALL(IF(DColumn=District,ROW(DColumn)),ROW(Sheet2!19:19)),3)),"",INDEX(votes,SMALL(IF(DColumn=District,ROW(DColumn)),ROW(Sheet2!19:19)),3))</f>
        <v/>
      </c>
      <c r="D34" s="4" t="str">
        <f t="array" ref="D34">IF(ISERROR(INDEX(votes,SMALL(IF(DColumn=District,ROW(DColumn)),ROW(Sheet2!19:19)),4)),"",INDEX(votes,SMALL(IF(DColumn=District,ROW(DColumn)),ROW(Sheet2!19:19)),4))</f>
        <v/>
      </c>
      <c r="E34" s="19">
        <f t="shared" si="0"/>
        <v>0</v>
      </c>
      <c r="F34">
        <v>0</v>
      </c>
    </row>
    <row r="35" spans="2:6" x14ac:dyDescent="0.3">
      <c r="B35" s="3" t="str">
        <f t="array" ref="B35">IF(ISERROR(INDEX(votes,SMALL(IF(DColumn=District,ROW(DColumn)),ROW(Sheet2!20:20)),2)),"",INDEX(votes,SMALL(IF(DColumn=District,ROW(DColumn)),ROW(Sheet2!20:20)),2))</f>
        <v/>
      </c>
      <c r="C35" s="3" t="str">
        <f t="array" ref="C35">IF(ISERROR(INDEX(votes,SMALL(IF(DColumn=District,ROW(DColumn)),ROW(Sheet2!20:20)),3)),"",INDEX(votes,SMALL(IF(DColumn=District,ROW(DColumn)),ROW(Sheet2!20:20)),3))</f>
        <v/>
      </c>
      <c r="D35" s="4" t="str">
        <f t="array" ref="D35">IF(ISERROR(INDEX(votes,SMALL(IF(DColumn=District,ROW(DColumn)),ROW(Sheet2!20:20)),4)),"",INDEX(votes,SMALL(IF(DColumn=District,ROW(DColumn)),ROW(Sheet2!20:20)),4))</f>
        <v/>
      </c>
      <c r="E35" s="19">
        <f t="shared" si="0"/>
        <v>0</v>
      </c>
      <c r="F35">
        <v>0</v>
      </c>
    </row>
    <row r="36" spans="2:6" x14ac:dyDescent="0.3">
      <c r="B36" s="3" t="str">
        <f t="array" ref="B36">IF(ISERROR(INDEX(votes,SMALL(IF(DColumn=District,ROW(DColumn)),ROW(Sheet2!21:21)),2)),"",INDEX(votes,SMALL(IF(DColumn=District,ROW(DColumn)),ROW(Sheet2!21:21)),2))</f>
        <v/>
      </c>
      <c r="C36" s="3" t="str">
        <f t="array" ref="C36">IF(ISERROR(INDEX(votes,SMALL(IF(DColumn=District,ROW(DColumn)),ROW(Sheet2!21:21)),3)),"",INDEX(votes,SMALL(IF(DColumn=District,ROW(DColumn)),ROW(Sheet2!21:21)),3))</f>
        <v/>
      </c>
      <c r="D36" s="4" t="str">
        <f t="array" ref="D36">IF(ISERROR(INDEX(votes,SMALL(IF(DColumn=District,ROW(DColumn)),ROW(Sheet2!21:21)),4)),"",INDEX(votes,SMALL(IF(DColumn=District,ROW(DColumn)),ROW(Sheet2!21:21)),4))</f>
        <v/>
      </c>
      <c r="E36" s="19">
        <f t="shared" si="0"/>
        <v>0</v>
      </c>
      <c r="F36">
        <v>0</v>
      </c>
    </row>
    <row r="37" spans="2:6" x14ac:dyDescent="0.3">
      <c r="B37" s="3" t="str">
        <f t="array" ref="B37">IF(ISERROR(INDEX(votes,SMALL(IF(DColumn=District,ROW(DColumn)),ROW(Sheet2!22:22)),2)),"",INDEX(votes,SMALL(IF(DColumn=District,ROW(DColumn)),ROW(Sheet2!22:22)),2))</f>
        <v/>
      </c>
      <c r="C37" s="3" t="str">
        <f t="array" ref="C37">IF(ISERROR(INDEX(votes,SMALL(IF(DColumn=District,ROW(DColumn)),ROW(Sheet2!22:22)),3)),"",INDEX(votes,SMALL(IF(DColumn=District,ROW(DColumn)),ROW(Sheet2!22:22)),3))</f>
        <v/>
      </c>
      <c r="D37" s="4" t="str">
        <f t="array" ref="D37">IF(ISERROR(INDEX(votes,SMALL(IF(DColumn=District,ROW(DColumn)),ROW(Sheet2!22:22)),4)),"",INDEX(votes,SMALL(IF(DColumn=District,ROW(DColumn)),ROW(Sheet2!22:22)),4))</f>
        <v/>
      </c>
      <c r="E37" s="19">
        <f t="shared" si="0"/>
        <v>0</v>
      </c>
      <c r="F37">
        <v>0</v>
      </c>
    </row>
    <row r="38" spans="2:6" x14ac:dyDescent="0.3">
      <c r="B38" s="3" t="str">
        <f t="array" ref="B38">IF(ISERROR(INDEX(votes,SMALL(IF(DColumn=District,ROW(DColumn)),ROW(Sheet2!23:23)),2)),"",INDEX(votes,SMALL(IF(DColumn=District,ROW(DColumn)),ROW(Sheet2!23:23)),2))</f>
        <v/>
      </c>
      <c r="C38" s="3" t="str">
        <f t="array" ref="C38">IF(ISERROR(INDEX(votes,SMALL(IF(DColumn=District,ROW(DColumn)),ROW(Sheet2!23:23)),3)),"",INDEX(votes,SMALL(IF(DColumn=District,ROW(DColumn)),ROW(Sheet2!23:23)),3))</f>
        <v/>
      </c>
      <c r="D38" s="4" t="str">
        <f t="array" ref="D38">IF(ISERROR(INDEX(votes,SMALL(IF(DColumn=District,ROW(DColumn)),ROW(Sheet2!23:23)),4)),"",INDEX(votes,SMALL(IF(DColumn=District,ROW(DColumn)),ROW(Sheet2!23:23)),4))</f>
        <v/>
      </c>
      <c r="E38" s="19">
        <f t="shared" si="0"/>
        <v>0</v>
      </c>
      <c r="F38">
        <v>0</v>
      </c>
    </row>
    <row r="39" spans="2:6" x14ac:dyDescent="0.3">
      <c r="B39" s="3" t="str">
        <f t="array" ref="B39">IF(ISERROR(INDEX(votes,SMALL(IF(DColumn=District,ROW(DColumn)),ROW(Sheet2!24:24)),2)),"",INDEX(votes,SMALL(IF(DColumn=District,ROW(DColumn)),ROW(Sheet2!24:24)),2))</f>
        <v/>
      </c>
      <c r="C39" s="3" t="str">
        <f t="array" ref="C39">IF(ISERROR(INDEX(votes,SMALL(IF(DColumn=District,ROW(DColumn)),ROW(Sheet2!24:24)),3)),"",INDEX(votes,SMALL(IF(DColumn=District,ROW(DColumn)),ROW(Sheet2!24:24)),3))</f>
        <v/>
      </c>
      <c r="D39" s="4" t="str">
        <f t="array" ref="D39">IF(ISERROR(INDEX(votes,SMALL(IF(DColumn=District,ROW(DColumn)),ROW(Sheet2!24:24)),4)),"",INDEX(votes,SMALL(IF(DColumn=District,ROW(DColumn)),ROW(Sheet2!24:24)),4))</f>
        <v/>
      </c>
      <c r="E39" s="19">
        <f t="shared" si="0"/>
        <v>0</v>
      </c>
      <c r="F39">
        <v>0</v>
      </c>
    </row>
    <row r="40" spans="2:6" x14ac:dyDescent="0.3">
      <c r="B40" s="3" t="str">
        <f t="array" ref="B40">IF(ISERROR(INDEX(votes,SMALL(IF(DColumn=District,ROW(DColumn)),ROW(Sheet2!25:25)),2)),"",INDEX(votes,SMALL(IF(DColumn=District,ROW(DColumn)),ROW(Sheet2!25:25)),2))</f>
        <v/>
      </c>
      <c r="C40" s="3" t="str">
        <f t="array" ref="C40">IF(ISERROR(INDEX(votes,SMALL(IF(DColumn=District,ROW(DColumn)),ROW(Sheet2!25:25)),3)),"",INDEX(votes,SMALL(IF(DColumn=District,ROW(DColumn)),ROW(Sheet2!25:25)),3))</f>
        <v/>
      </c>
      <c r="D40" s="4" t="str">
        <f t="array" ref="D40">IF(ISERROR(INDEX(votes,SMALL(IF(DColumn=District,ROW(DColumn)),ROW(Sheet2!25:25)),4)),"",INDEX(votes,SMALL(IF(DColumn=District,ROW(DColumn)),ROW(Sheet2!25:25)),4))</f>
        <v/>
      </c>
      <c r="E40" s="19">
        <f t="shared" si="0"/>
        <v>0</v>
      </c>
      <c r="F40">
        <v>0</v>
      </c>
    </row>
    <row r="41" spans="2:6" x14ac:dyDescent="0.3">
      <c r="B41" s="3" t="str">
        <f t="array" ref="B41">IF(ISERROR(INDEX(votes,SMALL(IF(DColumn=District,ROW(DColumn)),ROW(Sheet2!26:26)),2)),"",INDEX(votes,SMALL(IF(DColumn=District,ROW(DColumn)),ROW(Sheet2!26:26)),2))</f>
        <v/>
      </c>
      <c r="C41" s="3" t="str">
        <f t="array" ref="C41">IF(ISERROR(INDEX(votes,SMALL(IF(DColumn=District,ROW(DColumn)),ROW(Sheet2!26:26)),3)),"",INDEX(votes,SMALL(IF(DColumn=District,ROW(DColumn)),ROW(Sheet2!26:26)),3))</f>
        <v/>
      </c>
      <c r="D41" s="4" t="str">
        <f t="array" ref="D41">IF(ISERROR(INDEX(votes,SMALL(IF(DColumn=District,ROW(DColumn)),ROW(Sheet2!26:26)),4)),"",INDEX(votes,SMALL(IF(DColumn=District,ROW(DColumn)),ROW(Sheet2!26:26)),4))</f>
        <v/>
      </c>
      <c r="E41" s="19">
        <f t="shared" si="0"/>
        <v>0</v>
      </c>
      <c r="F41">
        <v>0</v>
      </c>
    </row>
    <row r="42" spans="2:6" x14ac:dyDescent="0.3">
      <c r="B42" s="3" t="str">
        <f t="array" ref="B42">IF(ISERROR(INDEX(votes,SMALL(IF(DColumn=District,ROW(DColumn)),ROW(Sheet2!27:27)),2)),"",INDEX(votes,SMALL(IF(DColumn=District,ROW(DColumn)),ROW(Sheet2!27:27)),2))</f>
        <v/>
      </c>
      <c r="C42" s="3" t="str">
        <f t="array" ref="C42">IF(ISERROR(INDEX(votes,SMALL(IF(DColumn=District,ROW(DColumn)),ROW(Sheet2!27:27)),3)),"",INDEX(votes,SMALL(IF(DColumn=District,ROW(DColumn)),ROW(Sheet2!27:27)),3))</f>
        <v/>
      </c>
      <c r="D42" s="4" t="str">
        <f t="array" ref="D42">IF(ISERROR(INDEX(votes,SMALL(IF(DColumn=District,ROW(DColumn)),ROW(Sheet2!27:27)),4)),"",INDEX(votes,SMALL(IF(DColumn=District,ROW(DColumn)),ROW(Sheet2!27:27)),4))</f>
        <v/>
      </c>
      <c r="E42" s="19">
        <f t="shared" si="0"/>
        <v>0</v>
      </c>
      <c r="F42">
        <v>0</v>
      </c>
    </row>
    <row r="43" spans="2:6" x14ac:dyDescent="0.3">
      <c r="B43" s="3" t="str">
        <f t="array" ref="B43">IF(ISERROR(INDEX(votes,SMALL(IF(DColumn=District,ROW(DColumn)),ROW(Sheet2!28:28)),2)),"",INDEX(votes,SMALL(IF(DColumn=District,ROW(DColumn)),ROW(Sheet2!28:28)),2))</f>
        <v/>
      </c>
      <c r="C43" s="3" t="str">
        <f t="array" ref="C43">IF(ISERROR(INDEX(votes,SMALL(IF(DColumn=District,ROW(DColumn)),ROW(Sheet2!28:28)),3)),"",INDEX(votes,SMALL(IF(DColumn=District,ROW(DColumn)),ROW(Sheet2!28:28)),3))</f>
        <v/>
      </c>
      <c r="D43" s="4" t="str">
        <f t="array" ref="D43">IF(ISERROR(INDEX(votes,SMALL(IF(DColumn=District,ROW(DColumn)),ROW(Sheet2!28:28)),4)),"",INDEX(votes,SMALL(IF(DColumn=District,ROW(DColumn)),ROW(Sheet2!28:28)),4))</f>
        <v/>
      </c>
      <c r="E43" s="19">
        <f t="shared" si="0"/>
        <v>0</v>
      </c>
      <c r="F43">
        <v>0</v>
      </c>
    </row>
    <row r="44" spans="2:6" x14ac:dyDescent="0.3">
      <c r="B44" s="3" t="str">
        <f t="array" ref="B44">IF(ISERROR(INDEX(votes,SMALL(IF(DColumn=District,ROW(DColumn)),ROW(Sheet2!29:29)),2)),"",INDEX(votes,SMALL(IF(DColumn=District,ROW(DColumn)),ROW(Sheet2!29:29)),2))</f>
        <v/>
      </c>
      <c r="C44" s="3" t="str">
        <f t="array" ref="C44">IF(ISERROR(INDEX(votes,SMALL(IF(DColumn=District,ROW(DColumn)),ROW(Sheet2!29:29)),3)),"",INDEX(votes,SMALL(IF(DColumn=District,ROW(DColumn)),ROW(Sheet2!29:29)),3))</f>
        <v/>
      </c>
      <c r="D44" s="4" t="str">
        <f t="array" ref="D44">IF(ISERROR(INDEX(votes,SMALL(IF(DColumn=District,ROW(DColumn)),ROW(Sheet2!29:29)),4)),"",INDEX(votes,SMALL(IF(DColumn=District,ROW(DColumn)),ROW(Sheet2!29:29)),4))</f>
        <v/>
      </c>
      <c r="E44" s="19">
        <f t="shared" si="0"/>
        <v>0</v>
      </c>
      <c r="F44">
        <v>0</v>
      </c>
    </row>
    <row r="45" spans="2:6" x14ac:dyDescent="0.3">
      <c r="B45" s="3" t="str">
        <f t="array" ref="B45">IF(ISERROR(INDEX(votes,SMALL(IF(DColumn=District,ROW(DColumn)),ROW(Sheet2!30:30)),2)),"",INDEX(votes,SMALL(IF(DColumn=District,ROW(DColumn)),ROW(Sheet2!30:30)),2))</f>
        <v/>
      </c>
      <c r="C45" s="3" t="str">
        <f t="array" ref="C45">IF(ISERROR(INDEX(votes,SMALL(IF(DColumn=District,ROW(DColumn)),ROW(Sheet2!30:30)),3)),"",INDEX(votes,SMALL(IF(DColumn=District,ROW(DColumn)),ROW(Sheet2!30:30)),3))</f>
        <v/>
      </c>
      <c r="D45" s="4" t="str">
        <f t="array" ref="D45">IF(ISERROR(INDEX(votes,SMALL(IF(DColumn=District,ROW(DColumn)),ROW(Sheet2!30:30)),4)),"",INDEX(votes,SMALL(IF(DColumn=District,ROW(DColumn)),ROW(Sheet2!30:30)),4))</f>
        <v/>
      </c>
      <c r="E45" s="19">
        <f t="shared" si="0"/>
        <v>0</v>
      </c>
      <c r="F45">
        <v>0</v>
      </c>
    </row>
    <row r="46" spans="2:6" x14ac:dyDescent="0.3">
      <c r="B46" s="3" t="str">
        <f t="array" ref="B46">IF(ISERROR(INDEX(votes,SMALL(IF(DColumn=District,ROW(DColumn)),ROW(Sheet2!31:31)),2)),"",INDEX(votes,SMALL(IF(DColumn=District,ROW(DColumn)),ROW(Sheet2!31:31)),2))</f>
        <v/>
      </c>
      <c r="C46" s="3" t="str">
        <f t="array" ref="C46">IF(ISERROR(INDEX(votes,SMALL(IF(DColumn=District,ROW(DColumn)),ROW(Sheet2!31:31)),3)),"",INDEX(votes,SMALL(IF(DColumn=District,ROW(DColumn)),ROW(Sheet2!31:31)),3))</f>
        <v/>
      </c>
      <c r="D46" s="4" t="str">
        <f t="array" ref="D46">IF(ISERROR(INDEX(votes,SMALL(IF(DColumn=District,ROW(DColumn)),ROW(Sheet2!31:31)),4)),"",INDEX(votes,SMALL(IF(DColumn=District,ROW(DColumn)),ROW(Sheet2!31:31)),4))</f>
        <v/>
      </c>
      <c r="E46" s="19">
        <f t="shared" si="0"/>
        <v>0</v>
      </c>
      <c r="F46">
        <v>0</v>
      </c>
    </row>
    <row r="47" spans="2:6" x14ac:dyDescent="0.3">
      <c r="B47" s="3" t="str">
        <f t="array" ref="B47">IF(ISERROR(INDEX(votes,SMALL(IF(DColumn=District,ROW(DColumn)),ROW(Sheet2!32:32)),2)),"",INDEX(votes,SMALL(IF(DColumn=District,ROW(DColumn)),ROW(Sheet2!32:32)),2))</f>
        <v/>
      </c>
      <c r="C47" s="3" t="str">
        <f t="array" ref="C47">IF(ISERROR(INDEX(votes,SMALL(IF(DColumn=District,ROW(DColumn)),ROW(Sheet2!32:32)),3)),"",INDEX(votes,SMALL(IF(DColumn=District,ROW(DColumn)),ROW(Sheet2!32:32)),3))</f>
        <v/>
      </c>
      <c r="D47" s="4" t="str">
        <f t="array" ref="D47">IF(ISERROR(INDEX(votes,SMALL(IF(DColumn=District,ROW(DColumn)),ROW(Sheet2!32:32)),4)),"",INDEX(votes,SMALL(IF(DColumn=District,ROW(DColumn)),ROW(Sheet2!32:32)),4))</f>
        <v/>
      </c>
      <c r="E47" s="19">
        <f t="shared" si="0"/>
        <v>0</v>
      </c>
      <c r="F47">
        <v>0</v>
      </c>
    </row>
    <row r="48" spans="2:6" x14ac:dyDescent="0.3">
      <c r="B48" s="3" t="str">
        <f t="array" ref="B48">IF(ISERROR(INDEX(votes,SMALL(IF(DColumn=District,ROW(DColumn)),ROW(Sheet2!33:33)),2)),"",INDEX(votes,SMALL(IF(DColumn=District,ROW(DColumn)),ROW(Sheet2!33:33)),2))</f>
        <v/>
      </c>
      <c r="C48" s="3" t="str">
        <f t="array" ref="C48">IF(ISERROR(INDEX(votes,SMALL(IF(DColumn=District,ROW(DColumn)),ROW(Sheet2!33:33)),3)),"",INDEX(votes,SMALL(IF(DColumn=District,ROW(DColumn)),ROW(Sheet2!33:33)),3))</f>
        <v/>
      </c>
      <c r="D48" s="4" t="str">
        <f t="array" ref="D48">IF(ISERROR(INDEX(votes,SMALL(IF(DColumn=District,ROW(DColumn)),ROW(Sheet2!33:33)),4)),"",INDEX(votes,SMALL(IF(DColumn=District,ROW(DColumn)),ROW(Sheet2!33:33)),4))</f>
        <v/>
      </c>
      <c r="E48" s="19">
        <f t="shared" si="0"/>
        <v>0</v>
      </c>
      <c r="F48">
        <v>0</v>
      </c>
    </row>
    <row r="49" spans="2:6" x14ac:dyDescent="0.3">
      <c r="B49" s="3" t="str">
        <f t="array" ref="B49">IF(ISERROR(INDEX(votes,SMALL(IF(DColumn=District,ROW(DColumn)),ROW(Sheet2!34:34)),2)),"",INDEX(votes,SMALL(IF(DColumn=District,ROW(DColumn)),ROW(Sheet2!34:34)),2))</f>
        <v/>
      </c>
      <c r="C49" s="3" t="str">
        <f t="array" ref="C49">IF(ISERROR(INDEX(votes,SMALL(IF(DColumn=District,ROW(DColumn)),ROW(Sheet2!34:34)),3)),"",INDEX(votes,SMALL(IF(DColumn=District,ROW(DColumn)),ROW(Sheet2!34:34)),3))</f>
        <v/>
      </c>
      <c r="D49" s="4" t="str">
        <f t="array" ref="D49">IF(ISERROR(INDEX(votes,SMALL(IF(DColumn=District,ROW(DColumn)),ROW(Sheet2!34:34)),4)),"",INDEX(votes,SMALL(IF(DColumn=District,ROW(DColumn)),ROW(Sheet2!34:34)),4))</f>
        <v/>
      </c>
      <c r="E49" s="19">
        <f t="shared" si="0"/>
        <v>0</v>
      </c>
      <c r="F49">
        <v>0</v>
      </c>
    </row>
    <row r="50" spans="2:6" x14ac:dyDescent="0.3">
      <c r="B50" s="3" t="str">
        <f t="array" ref="B50">IF(ISERROR(INDEX(votes,SMALL(IF(DColumn=District,ROW(DColumn)),ROW(Sheet2!35:35)),2)),"",INDEX(votes,SMALL(IF(DColumn=District,ROW(DColumn)),ROW(Sheet2!35:35)),2))</f>
        <v/>
      </c>
      <c r="C50" s="3" t="str">
        <f t="array" ref="C50">IF(ISERROR(INDEX(votes,SMALL(IF(DColumn=District,ROW(DColumn)),ROW(Sheet2!35:35)),3)),"",INDEX(votes,SMALL(IF(DColumn=District,ROW(DColumn)),ROW(Sheet2!35:35)),3))</f>
        <v/>
      </c>
      <c r="D50" s="4" t="str">
        <f t="array" ref="D50">IF(ISERROR(INDEX(votes,SMALL(IF(DColumn=District,ROW(DColumn)),ROW(Sheet2!35:35)),4)),"",INDEX(votes,SMALL(IF(DColumn=District,ROW(DColumn)),ROW(Sheet2!35:35)),4))</f>
        <v/>
      </c>
      <c r="E50" s="19">
        <f t="shared" si="0"/>
        <v>0</v>
      </c>
      <c r="F50">
        <v>0</v>
      </c>
    </row>
    <row r="51" spans="2:6" x14ac:dyDescent="0.3">
      <c r="B51" s="3" t="str">
        <f t="array" ref="B51">IF(ISERROR(INDEX(votes,SMALL(IF(DColumn=District,ROW(DColumn)),ROW(Sheet2!36:36)),2)),"",INDEX(votes,SMALL(IF(DColumn=District,ROW(DColumn)),ROW(Sheet2!36:36)),2))</f>
        <v/>
      </c>
      <c r="C51" s="3" t="str">
        <f t="array" ref="C51">IF(ISERROR(INDEX(votes,SMALL(IF(DColumn=District,ROW(DColumn)),ROW(Sheet2!36:36)),3)),"",INDEX(votes,SMALL(IF(DColumn=District,ROW(DColumn)),ROW(Sheet2!36:36)),3))</f>
        <v/>
      </c>
      <c r="D51" s="4" t="str">
        <f t="array" ref="D51">IF(ISERROR(INDEX(votes,SMALL(IF(DColumn=District,ROW(DColumn)),ROW(Sheet2!36:36)),4)),"",INDEX(votes,SMALL(IF(DColumn=District,ROW(DColumn)),ROW(Sheet2!36:36)),4))</f>
        <v/>
      </c>
      <c r="E51" s="19">
        <f t="shared" si="0"/>
        <v>0</v>
      </c>
      <c r="F51">
        <v>0</v>
      </c>
    </row>
    <row r="52" spans="2:6" x14ac:dyDescent="0.3">
      <c r="B52" s="3" t="str">
        <f t="array" ref="B52">IF(ISERROR(INDEX(votes,SMALL(IF(DColumn=District,ROW(DColumn)),ROW(Sheet2!37:37)),2)),"",INDEX(votes,SMALL(IF(DColumn=District,ROW(DColumn)),ROW(Sheet2!37:37)),2))</f>
        <v/>
      </c>
      <c r="C52" s="3" t="str">
        <f t="array" ref="C52">IF(ISERROR(INDEX(votes,SMALL(IF(DColumn=District,ROW(DColumn)),ROW(Sheet2!37:37)),3)),"",INDEX(votes,SMALL(IF(DColumn=District,ROW(DColumn)),ROW(Sheet2!37:37)),3))</f>
        <v/>
      </c>
      <c r="D52" s="4" t="str">
        <f t="array" ref="D52">IF(ISERROR(INDEX(votes,SMALL(IF(DColumn=District,ROW(DColumn)),ROW(Sheet2!37:37)),4)),"",INDEX(votes,SMALL(IF(DColumn=District,ROW(DColumn)),ROW(Sheet2!37:37)),4))</f>
        <v/>
      </c>
      <c r="E52" s="19">
        <f t="shared" si="0"/>
        <v>0</v>
      </c>
      <c r="F52">
        <v>0</v>
      </c>
    </row>
    <row r="53" spans="2:6" x14ac:dyDescent="0.3">
      <c r="B53" s="3" t="str">
        <f t="array" ref="B53">IF(ISERROR(INDEX(votes,SMALL(IF(DColumn=District,ROW(DColumn)),ROW(Sheet2!38:38)),2)),"",INDEX(votes,SMALL(IF(DColumn=District,ROW(DColumn)),ROW(Sheet2!38:38)),2))</f>
        <v/>
      </c>
      <c r="C53" s="3" t="str">
        <f t="array" ref="C53">IF(ISERROR(INDEX(votes,SMALL(IF(DColumn=District,ROW(DColumn)),ROW(Sheet2!38:38)),3)),"",INDEX(votes,SMALL(IF(DColumn=District,ROW(DColumn)),ROW(Sheet2!38:38)),3))</f>
        <v/>
      </c>
      <c r="D53" s="4" t="str">
        <f t="array" ref="D53">IF(ISERROR(INDEX(votes,SMALL(IF(DColumn=District,ROW(DColumn)),ROW(Sheet2!38:38)),4)),"",INDEX(votes,SMALL(IF(DColumn=District,ROW(DColumn)),ROW(Sheet2!38:38)),4))</f>
        <v/>
      </c>
      <c r="E53" s="19">
        <f t="shared" si="0"/>
        <v>0</v>
      </c>
      <c r="F53">
        <v>0</v>
      </c>
    </row>
    <row r="54" spans="2:6" x14ac:dyDescent="0.3">
      <c r="B54" s="3" t="str">
        <f t="array" ref="B54">IF(ISERROR(INDEX(votes,SMALL(IF(DColumn=District,ROW(DColumn)),ROW(Sheet2!39:39)),2)),"",INDEX(votes,SMALL(IF(DColumn=District,ROW(DColumn)),ROW(Sheet2!39:39)),2))</f>
        <v/>
      </c>
      <c r="C54" s="3" t="str">
        <f t="array" ref="C54">IF(ISERROR(INDEX(votes,SMALL(IF(DColumn=District,ROW(DColumn)),ROW(Sheet2!39:39)),3)),"",INDEX(votes,SMALL(IF(DColumn=District,ROW(DColumn)),ROW(Sheet2!39:39)),3))</f>
        <v/>
      </c>
      <c r="D54" s="4" t="str">
        <f t="array" ref="D54">IF(ISERROR(INDEX(votes,SMALL(IF(DColumn=District,ROW(DColumn)),ROW(Sheet2!39:39)),4)),"",INDEX(votes,SMALL(IF(DColumn=District,ROW(DColumn)),ROW(Sheet2!39:39)),4))</f>
        <v/>
      </c>
      <c r="E54" s="19">
        <f t="shared" si="0"/>
        <v>0</v>
      </c>
      <c r="F54">
        <v>0</v>
      </c>
    </row>
    <row r="55" spans="2:6" x14ac:dyDescent="0.3">
      <c r="B55" s="3" t="str">
        <f t="array" ref="B55">IF(ISERROR(INDEX(votes,SMALL(IF(DColumn=District,ROW(DColumn)),ROW(Sheet2!40:40)),2)),"",INDEX(votes,SMALL(IF(DColumn=District,ROW(DColumn)),ROW(Sheet2!40:40)),2))</f>
        <v/>
      </c>
      <c r="C55" s="3" t="str">
        <f t="array" ref="C55">IF(ISERROR(INDEX(votes,SMALL(IF(DColumn=District,ROW(DColumn)),ROW(Sheet2!40:40)),3)),"",INDEX(votes,SMALL(IF(DColumn=District,ROW(DColumn)),ROW(Sheet2!40:40)),3))</f>
        <v/>
      </c>
      <c r="D55" s="4" t="str">
        <f t="array" ref="D55">IF(ISERROR(INDEX(votes,SMALL(IF(DColumn=District,ROW(DColumn)),ROW(Sheet2!40:40)),4)),"",INDEX(votes,SMALL(IF(DColumn=District,ROW(DColumn)),ROW(Sheet2!40:40)),4))</f>
        <v/>
      </c>
      <c r="E55" s="19">
        <f t="shared" si="0"/>
        <v>0</v>
      </c>
      <c r="F55">
        <v>0</v>
      </c>
    </row>
    <row r="56" spans="2:6" x14ac:dyDescent="0.3">
      <c r="B56" s="3" t="str">
        <f t="array" ref="B56">IF(ISERROR(INDEX(votes,SMALL(IF(DColumn=District,ROW(DColumn)),ROW(Sheet2!41:41)),2)),"",INDEX(votes,SMALL(IF(DColumn=District,ROW(DColumn)),ROW(Sheet2!41:41)),2))</f>
        <v/>
      </c>
      <c r="C56" s="3" t="str">
        <f t="array" ref="C56">IF(ISERROR(INDEX(votes,SMALL(IF(DColumn=District,ROW(DColumn)),ROW(Sheet2!41:41)),3)),"",INDEX(votes,SMALL(IF(DColumn=District,ROW(DColumn)),ROW(Sheet2!41:41)),3))</f>
        <v/>
      </c>
      <c r="D56" s="4" t="str">
        <f t="array" ref="D56">IF(ISERROR(INDEX(votes,SMALL(IF(DColumn=District,ROW(DColumn)),ROW(Sheet2!41:41)),4)),"",INDEX(votes,SMALL(IF(DColumn=District,ROW(DColumn)),ROW(Sheet2!41:41)),4))</f>
        <v/>
      </c>
      <c r="E56" s="19">
        <f t="shared" si="0"/>
        <v>0</v>
      </c>
      <c r="F56">
        <v>0</v>
      </c>
    </row>
    <row r="57" spans="2:6" x14ac:dyDescent="0.3">
      <c r="B57" s="3" t="str">
        <f t="array" ref="B57">IF(ISERROR(INDEX(votes,SMALL(IF(DColumn=District,ROW(DColumn)),ROW(Sheet2!42:42)),2)),"",INDEX(votes,SMALL(IF(DColumn=District,ROW(DColumn)),ROW(Sheet2!42:42)),2))</f>
        <v/>
      </c>
      <c r="C57" s="3" t="str">
        <f t="array" ref="C57">IF(ISERROR(INDEX(votes,SMALL(IF(DColumn=District,ROW(DColumn)),ROW(Sheet2!42:42)),3)),"",INDEX(votes,SMALL(IF(DColumn=District,ROW(DColumn)),ROW(Sheet2!42:42)),3))</f>
        <v/>
      </c>
      <c r="D57" s="4" t="str">
        <f t="array" ref="D57">IF(ISERROR(INDEX(votes,SMALL(IF(DColumn=District,ROW(DColumn)),ROW(Sheet2!42:42)),4)),"",INDEX(votes,SMALL(IF(DColumn=District,ROW(DColumn)),ROW(Sheet2!42:42)),4))</f>
        <v/>
      </c>
      <c r="E57" s="19">
        <f t="shared" si="0"/>
        <v>0</v>
      </c>
      <c r="F57">
        <v>0</v>
      </c>
    </row>
    <row r="58" spans="2:6" x14ac:dyDescent="0.3">
      <c r="B58" s="3" t="str">
        <f t="array" ref="B58">IF(ISERROR(INDEX(votes,SMALL(IF(DColumn=District,ROW(DColumn)),ROW(Sheet2!43:43)),2)),"",INDEX(votes,SMALL(IF(DColumn=District,ROW(DColumn)),ROW(Sheet2!43:43)),2))</f>
        <v/>
      </c>
      <c r="C58" s="3" t="str">
        <f t="array" ref="C58">IF(ISERROR(INDEX(votes,SMALL(IF(DColumn=District,ROW(DColumn)),ROW(Sheet2!43:43)),3)),"",INDEX(votes,SMALL(IF(DColumn=District,ROW(DColumn)),ROW(Sheet2!43:43)),3))</f>
        <v/>
      </c>
      <c r="D58" s="4" t="str">
        <f t="array" ref="D58">IF(ISERROR(INDEX(votes,SMALL(IF(DColumn=District,ROW(DColumn)),ROW(Sheet2!43:43)),4)),"",INDEX(votes,SMALL(IF(DColumn=District,ROW(DColumn)),ROW(Sheet2!43:43)),4))</f>
        <v/>
      </c>
      <c r="E58" s="19">
        <f t="shared" si="0"/>
        <v>0</v>
      </c>
      <c r="F58">
        <v>0</v>
      </c>
    </row>
    <row r="59" spans="2:6" x14ac:dyDescent="0.3">
      <c r="B59" s="3" t="str">
        <f t="array" ref="B59">IF(ISERROR(INDEX(votes,SMALL(IF(DColumn=District,ROW(DColumn)),ROW(Sheet2!44:44)),2)),"",INDEX(votes,SMALL(IF(DColumn=District,ROW(DColumn)),ROW(Sheet2!44:44)),2))</f>
        <v/>
      </c>
      <c r="C59" s="3" t="str">
        <f t="array" ref="C59">IF(ISERROR(INDEX(votes,SMALL(IF(DColumn=District,ROW(DColumn)),ROW(Sheet2!44:44)),3)),"",INDEX(votes,SMALL(IF(DColumn=District,ROW(DColumn)),ROW(Sheet2!44:44)),3))</f>
        <v/>
      </c>
      <c r="D59" s="4" t="str">
        <f t="array" ref="D59">IF(ISERROR(INDEX(votes,SMALL(IF(DColumn=District,ROW(DColumn)),ROW(Sheet2!44:44)),4)),"",INDEX(votes,SMALL(IF(DColumn=District,ROW(DColumn)),ROW(Sheet2!44:44)),4))</f>
        <v/>
      </c>
      <c r="E59" s="19">
        <f t="shared" si="0"/>
        <v>0</v>
      </c>
      <c r="F59">
        <v>0</v>
      </c>
    </row>
    <row r="60" spans="2:6" x14ac:dyDescent="0.3">
      <c r="B60" s="3" t="str">
        <f t="array" ref="B60">IF(ISERROR(INDEX(votes,SMALL(IF(DColumn=District,ROW(DColumn)),ROW(Sheet2!45:45)),2)),"",INDEX(votes,SMALL(IF(DColumn=District,ROW(DColumn)),ROW(Sheet2!45:45)),2))</f>
        <v/>
      </c>
      <c r="C60" s="3" t="str">
        <f t="array" ref="C60">IF(ISERROR(INDEX(votes,SMALL(IF(DColumn=District,ROW(DColumn)),ROW(Sheet2!45:45)),3)),"",INDEX(votes,SMALL(IF(DColumn=District,ROW(DColumn)),ROW(Sheet2!45:45)),3))</f>
        <v/>
      </c>
      <c r="D60" s="4" t="str">
        <f t="array" ref="D60">IF(ISERROR(INDEX(votes,SMALL(IF(DColumn=District,ROW(DColumn)),ROW(Sheet2!45:45)),4)),"",INDEX(votes,SMALL(IF(DColumn=District,ROW(DColumn)),ROW(Sheet2!45:45)),4))</f>
        <v/>
      </c>
      <c r="E60" s="19">
        <f t="shared" si="0"/>
        <v>0</v>
      </c>
      <c r="F60">
        <v>0</v>
      </c>
    </row>
    <row r="61" spans="2:6" x14ac:dyDescent="0.3">
      <c r="B61" s="3" t="str">
        <f t="array" ref="B61">IF(ISERROR(INDEX(votes,SMALL(IF(DColumn=District,ROW(DColumn)),ROW(Sheet2!46:46)),2)),"",INDEX(votes,SMALL(IF(DColumn=District,ROW(DColumn)),ROW(Sheet2!46:46)),2))</f>
        <v/>
      </c>
      <c r="C61" s="3" t="str">
        <f t="array" ref="C61">IF(ISERROR(INDEX(votes,SMALL(IF(DColumn=District,ROW(DColumn)),ROW(Sheet2!46:46)),3)),"",INDEX(votes,SMALL(IF(DColumn=District,ROW(DColumn)),ROW(Sheet2!46:46)),3))</f>
        <v/>
      </c>
      <c r="D61" s="4" t="str">
        <f t="array" ref="D61">IF(ISERROR(INDEX(votes,SMALL(IF(DColumn=District,ROW(DColumn)),ROW(Sheet2!46:46)),4)),"",INDEX(votes,SMALL(IF(DColumn=District,ROW(DColumn)),ROW(Sheet2!46:46)),4))</f>
        <v/>
      </c>
      <c r="E61" s="19">
        <f t="shared" si="0"/>
        <v>0</v>
      </c>
      <c r="F61">
        <v>0</v>
      </c>
    </row>
    <row r="62" spans="2:6" x14ac:dyDescent="0.3">
      <c r="B62" s="3" t="str">
        <f t="array" ref="B62">IF(ISERROR(INDEX(votes,SMALL(IF(DColumn=District,ROW(DColumn)),ROW(Sheet2!47:47)),2)),"",INDEX(votes,SMALL(IF(DColumn=District,ROW(DColumn)),ROW(Sheet2!47:47)),2))</f>
        <v/>
      </c>
      <c r="C62" s="3" t="str">
        <f t="array" ref="C62">IF(ISERROR(INDEX(votes,SMALL(IF(DColumn=District,ROW(DColumn)),ROW(Sheet2!47:47)),3)),"",INDEX(votes,SMALL(IF(DColumn=District,ROW(DColumn)),ROW(Sheet2!47:47)),3))</f>
        <v/>
      </c>
      <c r="D62" s="4" t="str">
        <f t="array" ref="D62">IF(ISERROR(INDEX(votes,SMALL(IF(DColumn=District,ROW(DColumn)),ROW(Sheet2!47:47)),4)),"",INDEX(votes,SMALL(IF(DColumn=District,ROW(DColumn)),ROW(Sheet2!47:47)),4))</f>
        <v/>
      </c>
      <c r="E62" s="19">
        <f t="shared" si="0"/>
        <v>0</v>
      </c>
      <c r="F62">
        <v>0</v>
      </c>
    </row>
    <row r="63" spans="2:6" x14ac:dyDescent="0.3">
      <c r="B63" s="3" t="str">
        <f t="array" ref="B63">IF(ISERROR(INDEX(votes,SMALL(IF(DColumn=District,ROW(DColumn)),ROW(Sheet2!48:48)),2)),"",INDEX(votes,SMALL(IF(DColumn=District,ROW(DColumn)),ROW(Sheet2!48:48)),2))</f>
        <v/>
      </c>
      <c r="C63" s="3" t="str">
        <f t="array" ref="C63">IF(ISERROR(INDEX(votes,SMALL(IF(DColumn=District,ROW(DColumn)),ROW(Sheet2!48:48)),3)),"",INDEX(votes,SMALL(IF(DColumn=District,ROW(DColumn)),ROW(Sheet2!48:48)),3))</f>
        <v/>
      </c>
      <c r="D63" s="4" t="str">
        <f t="array" ref="D63">IF(ISERROR(INDEX(votes,SMALL(IF(DColumn=District,ROW(DColumn)),ROW(Sheet2!48:48)),4)),"",INDEX(votes,SMALL(IF(DColumn=District,ROW(DColumn)),ROW(Sheet2!48:48)),4))</f>
        <v/>
      </c>
      <c r="E63" s="19">
        <f t="shared" si="0"/>
        <v>0</v>
      </c>
      <c r="F63">
        <v>0</v>
      </c>
    </row>
    <row r="64" spans="2:6" x14ac:dyDescent="0.3">
      <c r="B64" s="3" t="str">
        <f t="array" ref="B64">IF(ISERROR(INDEX(votes,SMALL(IF(DColumn=District,ROW(DColumn)),ROW(Sheet2!49:49)),2)),"",INDEX(votes,SMALL(IF(DColumn=District,ROW(DColumn)),ROW(Sheet2!49:49)),2))</f>
        <v/>
      </c>
      <c r="C64" s="3" t="str">
        <f t="array" ref="C64">IF(ISERROR(INDEX(votes,SMALL(IF(DColumn=District,ROW(DColumn)),ROW(Sheet2!49:49)),3)),"",INDEX(votes,SMALL(IF(DColumn=District,ROW(DColumn)),ROW(Sheet2!49:49)),3))</f>
        <v/>
      </c>
      <c r="D64" s="4" t="str">
        <f t="array" ref="D64">IF(ISERROR(INDEX(votes,SMALL(IF(DColumn=District,ROW(DColumn)),ROW(Sheet2!49:49)),4)),"",INDEX(votes,SMALL(IF(DColumn=District,ROW(DColumn)),ROW(Sheet2!49:49)),4))</f>
        <v/>
      </c>
      <c r="E64" s="19">
        <f t="shared" si="0"/>
        <v>0</v>
      </c>
      <c r="F64">
        <v>0</v>
      </c>
    </row>
    <row r="65" spans="2:6" x14ac:dyDescent="0.3">
      <c r="B65" s="3" t="str">
        <f t="array" ref="B65">IF(ISERROR(INDEX(votes,SMALL(IF(DColumn=District,ROW(DColumn)),ROW(Sheet2!50:50)),2)),"",INDEX(votes,SMALL(IF(DColumn=District,ROW(DColumn)),ROW(Sheet2!50:50)),2))</f>
        <v/>
      </c>
      <c r="C65" s="3" t="str">
        <f t="array" ref="C65">IF(ISERROR(INDEX(votes,SMALL(IF(DColumn=District,ROW(DColumn)),ROW(Sheet2!50:50)),3)),"",INDEX(votes,SMALL(IF(DColumn=District,ROW(DColumn)),ROW(Sheet2!50:50)),3))</f>
        <v/>
      </c>
      <c r="D65" s="4" t="str">
        <f t="array" ref="D65">IF(ISERROR(INDEX(votes,SMALL(IF(DColumn=District,ROW(DColumn)),ROW(Sheet2!50:50)),4)),"",INDEX(votes,SMALL(IF(DColumn=District,ROW(DColumn)),ROW(Sheet2!50:50)),4))</f>
        <v/>
      </c>
      <c r="E65" s="19">
        <f t="shared" si="0"/>
        <v>0</v>
      </c>
      <c r="F65">
        <v>0</v>
      </c>
    </row>
    <row r="66" spans="2:6" x14ac:dyDescent="0.3">
      <c r="B66" s="3" t="str">
        <f t="array" ref="B66">IF(ISERROR(INDEX(votes,SMALL(IF(DColumn=District,ROW(DColumn)),ROW(Sheet2!51:51)),2)),"",INDEX(votes,SMALL(IF(DColumn=District,ROW(DColumn)),ROW(Sheet2!51:51)),2))</f>
        <v/>
      </c>
      <c r="C66" s="3" t="str">
        <f t="array" ref="C66">IF(ISERROR(INDEX(votes,SMALL(IF(DColumn=District,ROW(DColumn)),ROW(Sheet2!51:51)),3)),"",INDEX(votes,SMALL(IF(DColumn=District,ROW(DColumn)),ROW(Sheet2!51:51)),3))</f>
        <v/>
      </c>
      <c r="D66" s="4" t="str">
        <f t="array" ref="D66">IF(ISERROR(INDEX(votes,SMALL(IF(DColumn=District,ROW(DColumn)),ROW(Sheet2!51:51)),4)),"",INDEX(votes,SMALL(IF(DColumn=District,ROW(DColumn)),ROW(Sheet2!51:51)),4))</f>
        <v/>
      </c>
      <c r="E66" s="19">
        <f t="shared" si="0"/>
        <v>0</v>
      </c>
      <c r="F66">
        <v>0</v>
      </c>
    </row>
    <row r="67" spans="2:6" x14ac:dyDescent="0.3">
      <c r="B67" s="3" t="str">
        <f t="array" ref="B67">IF(ISERROR(INDEX(votes,SMALL(IF(DColumn=District,ROW(DColumn)),ROW(Sheet2!52:52)),2)),"",INDEX(votes,SMALL(IF(DColumn=District,ROW(DColumn)),ROW(Sheet2!52:52)),2))</f>
        <v/>
      </c>
      <c r="C67" s="3" t="str">
        <f t="array" ref="C67">IF(ISERROR(INDEX(votes,SMALL(IF(DColumn=District,ROW(DColumn)),ROW(Sheet2!52:52)),3)),"",INDEX(votes,SMALL(IF(DColumn=District,ROW(DColumn)),ROW(Sheet2!52:52)),3))</f>
        <v/>
      </c>
      <c r="D67" s="4" t="str">
        <f t="array" ref="D67">IF(ISERROR(INDEX(votes,SMALL(IF(DColumn=District,ROW(DColumn)),ROW(Sheet2!52:52)),4)),"",INDEX(votes,SMALL(IF(DColumn=District,ROW(DColumn)),ROW(Sheet2!52:52)),4))</f>
        <v/>
      </c>
      <c r="E67" s="19">
        <f t="shared" si="0"/>
        <v>0</v>
      </c>
      <c r="F67">
        <v>0</v>
      </c>
    </row>
    <row r="68" spans="2:6" x14ac:dyDescent="0.3">
      <c r="B68" s="3" t="str">
        <f t="array" ref="B68">IF(ISERROR(INDEX(votes,SMALL(IF(DColumn=District,ROW(DColumn)),ROW(Sheet2!53:53)),2)),"",INDEX(votes,SMALL(IF(DColumn=District,ROW(DColumn)),ROW(Sheet2!53:53)),2))</f>
        <v/>
      </c>
      <c r="C68" s="3" t="str">
        <f t="array" ref="C68">IF(ISERROR(INDEX(votes,SMALL(IF(DColumn=District,ROW(DColumn)),ROW(Sheet2!53:53)),3)),"",INDEX(votes,SMALL(IF(DColumn=District,ROW(DColumn)),ROW(Sheet2!53:53)),3))</f>
        <v/>
      </c>
      <c r="D68" s="4" t="str">
        <f t="array" ref="D68">IF(ISERROR(INDEX(votes,SMALL(IF(DColumn=District,ROW(DColumn)),ROW(Sheet2!53:53)),4)),"",INDEX(votes,SMALL(IF(DColumn=District,ROW(DColumn)),ROW(Sheet2!53:53)),4))</f>
        <v/>
      </c>
      <c r="E68" s="19">
        <f t="shared" si="0"/>
        <v>0</v>
      </c>
      <c r="F68">
        <v>0</v>
      </c>
    </row>
    <row r="69" spans="2:6" x14ac:dyDescent="0.3">
      <c r="B69" s="3" t="str">
        <f t="array" ref="B69">IF(ISERROR(INDEX(votes,SMALL(IF(DColumn=District,ROW(DColumn)),ROW(Sheet2!54:54)),2)),"",INDEX(votes,SMALL(IF(DColumn=District,ROW(DColumn)),ROW(Sheet2!54:54)),2))</f>
        <v/>
      </c>
      <c r="C69" s="3" t="str">
        <f t="array" ref="C69">IF(ISERROR(INDEX(votes,SMALL(IF(DColumn=District,ROW(DColumn)),ROW(Sheet2!54:54)),3)),"",INDEX(votes,SMALL(IF(DColumn=District,ROW(DColumn)),ROW(Sheet2!54:54)),3))</f>
        <v/>
      </c>
      <c r="D69" s="4" t="str">
        <f t="array" ref="D69">IF(ISERROR(INDEX(votes,SMALL(IF(DColumn=District,ROW(DColumn)),ROW(Sheet2!54:54)),4)),"",INDEX(votes,SMALL(IF(DColumn=District,ROW(DColumn)),ROW(Sheet2!54:54)),4))</f>
        <v/>
      </c>
      <c r="E69" s="19">
        <f t="shared" si="0"/>
        <v>0</v>
      </c>
      <c r="F69">
        <v>0</v>
      </c>
    </row>
    <row r="70" spans="2:6" x14ac:dyDescent="0.3">
      <c r="B70" s="3" t="str">
        <f t="array" ref="B70">IF(ISERROR(INDEX(votes,SMALL(IF(DColumn=District,ROW(DColumn)),ROW(Sheet2!55:55)),2)),"",INDEX(votes,SMALL(IF(DColumn=District,ROW(DColumn)),ROW(Sheet2!55:55)),2))</f>
        <v/>
      </c>
      <c r="C70" s="3" t="str">
        <f t="array" ref="C70">IF(ISERROR(INDEX(votes,SMALL(IF(DColumn=District,ROW(DColumn)),ROW(Sheet2!55:55)),3)),"",INDEX(votes,SMALL(IF(DColumn=District,ROW(DColumn)),ROW(Sheet2!55:55)),3))</f>
        <v/>
      </c>
      <c r="D70" s="4" t="str">
        <f t="array" ref="D70">IF(ISERROR(INDEX(votes,SMALL(IF(DColumn=District,ROW(DColumn)),ROW(Sheet2!55:55)),4)),"",INDEX(votes,SMALL(IF(DColumn=District,ROW(DColumn)),ROW(Sheet2!55:55)),4))</f>
        <v/>
      </c>
      <c r="E70" s="19">
        <f t="shared" si="0"/>
        <v>0</v>
      </c>
      <c r="F70">
        <v>0</v>
      </c>
    </row>
    <row r="71" spans="2:6" x14ac:dyDescent="0.3">
      <c r="B71" s="3" t="str">
        <f t="array" ref="B71">IF(ISERROR(INDEX(votes,SMALL(IF(DColumn=District,ROW(DColumn)),ROW(Sheet2!56:56)),2)),"",INDEX(votes,SMALL(IF(DColumn=District,ROW(DColumn)),ROW(Sheet2!56:56)),2))</f>
        <v/>
      </c>
      <c r="C71" s="3" t="str">
        <f t="array" ref="C71">IF(ISERROR(INDEX(votes,SMALL(IF(DColumn=District,ROW(DColumn)),ROW(Sheet2!56:56)),3)),"",INDEX(votes,SMALL(IF(DColumn=District,ROW(DColumn)),ROW(Sheet2!56:56)),3))</f>
        <v/>
      </c>
      <c r="D71" s="4" t="str">
        <f t="array" ref="D71">IF(ISERROR(INDEX(votes,SMALL(IF(DColumn=District,ROW(DColumn)),ROW(Sheet2!56:56)),4)),"",INDEX(votes,SMALL(IF(DColumn=District,ROW(DColumn)),ROW(Sheet2!56:56)),4))</f>
        <v/>
      </c>
      <c r="E71" s="19">
        <f t="shared" si="0"/>
        <v>0</v>
      </c>
      <c r="F71">
        <v>0</v>
      </c>
    </row>
    <row r="72" spans="2:6" x14ac:dyDescent="0.3">
      <c r="B72" s="3" t="str">
        <f t="array" ref="B72">IF(ISERROR(INDEX(votes,SMALL(IF(DColumn=District,ROW(DColumn)),ROW(Sheet2!57:57)),2)),"",INDEX(votes,SMALL(IF(DColumn=District,ROW(DColumn)),ROW(Sheet2!57:57)),2))</f>
        <v/>
      </c>
      <c r="C72" s="3" t="str">
        <f t="array" ref="C72">IF(ISERROR(INDEX(votes,SMALL(IF(DColumn=District,ROW(DColumn)),ROW(Sheet2!57:57)),3)),"",INDEX(votes,SMALL(IF(DColumn=District,ROW(DColumn)),ROW(Sheet2!57:57)),3))</f>
        <v/>
      </c>
      <c r="D72" s="4" t="str">
        <f t="array" ref="D72">IF(ISERROR(INDEX(votes,SMALL(IF(DColumn=District,ROW(DColumn)),ROW(Sheet2!57:57)),4)),"",INDEX(votes,SMALL(IF(DColumn=District,ROW(DColumn)),ROW(Sheet2!57:57)),4))</f>
        <v/>
      </c>
      <c r="E72" s="19">
        <f t="shared" si="0"/>
        <v>0</v>
      </c>
      <c r="F72">
        <v>0</v>
      </c>
    </row>
    <row r="73" spans="2:6" x14ac:dyDescent="0.3">
      <c r="B73" s="3" t="str">
        <f t="array" ref="B73">IF(ISERROR(INDEX(votes,SMALL(IF(DColumn=District,ROW(DColumn)),ROW(Sheet2!58:58)),2)),"",INDEX(votes,SMALL(IF(DColumn=District,ROW(DColumn)),ROW(Sheet2!58:58)),2))</f>
        <v/>
      </c>
      <c r="C73" s="3" t="str">
        <f t="array" ref="C73">IF(ISERROR(INDEX(votes,SMALL(IF(DColumn=District,ROW(DColumn)),ROW(Sheet2!58:58)),3)),"",INDEX(votes,SMALL(IF(DColumn=District,ROW(DColumn)),ROW(Sheet2!58:58)),3))</f>
        <v/>
      </c>
      <c r="D73" s="4" t="str">
        <f t="array" ref="D73">IF(ISERROR(INDEX(votes,SMALL(IF(DColumn=District,ROW(DColumn)),ROW(Sheet2!58:58)),4)),"",INDEX(votes,SMALL(IF(DColumn=District,ROW(DColumn)),ROW(Sheet2!58:58)),4))</f>
        <v/>
      </c>
      <c r="E73" s="19">
        <f t="shared" si="0"/>
        <v>0</v>
      </c>
      <c r="F73">
        <v>0</v>
      </c>
    </row>
    <row r="74" spans="2:6" x14ac:dyDescent="0.3">
      <c r="B74" s="3" t="str">
        <f t="array" ref="B74">IF(ISERROR(INDEX(votes,SMALL(IF(DColumn=District,ROW(DColumn)),ROW(Sheet2!59:59)),2)),"",INDEX(votes,SMALL(IF(DColumn=District,ROW(DColumn)),ROW(Sheet2!59:59)),2))</f>
        <v/>
      </c>
      <c r="C74" s="3" t="str">
        <f t="array" ref="C74">IF(ISERROR(INDEX(votes,SMALL(IF(DColumn=District,ROW(DColumn)),ROW(Sheet2!59:59)),3)),"",INDEX(votes,SMALL(IF(DColumn=District,ROW(DColumn)),ROW(Sheet2!59:59)),3))</f>
        <v/>
      </c>
      <c r="D74" s="4" t="str">
        <f t="array" ref="D74">IF(ISERROR(INDEX(votes,SMALL(IF(DColumn=District,ROW(DColumn)),ROW(Sheet2!59:59)),4)),"",INDEX(votes,SMALL(IF(DColumn=District,ROW(DColumn)),ROW(Sheet2!59:59)),4))</f>
        <v/>
      </c>
      <c r="E74" s="19">
        <f t="shared" si="0"/>
        <v>0</v>
      </c>
      <c r="F74">
        <v>0</v>
      </c>
    </row>
    <row r="75" spans="2:6" x14ac:dyDescent="0.3">
      <c r="B75" s="3" t="str">
        <f t="array" ref="B75">IF(ISERROR(INDEX(votes,SMALL(IF(DColumn=District,ROW(DColumn)),ROW(Sheet2!60:60)),2)),"",INDEX(votes,SMALL(IF(DColumn=District,ROW(DColumn)),ROW(Sheet2!60:60)),2))</f>
        <v/>
      </c>
      <c r="C75" s="3" t="str">
        <f t="array" ref="C75">IF(ISERROR(INDEX(votes,SMALL(IF(DColumn=District,ROW(DColumn)),ROW(Sheet2!60:60)),3)),"",INDEX(votes,SMALL(IF(DColumn=District,ROW(DColumn)),ROW(Sheet2!60:60)),3))</f>
        <v/>
      </c>
      <c r="D75" s="4" t="str">
        <f t="array" ref="D75">IF(ISERROR(INDEX(votes,SMALL(IF(DColumn=District,ROW(DColumn)),ROW(Sheet2!60:60)),4)),"",INDEX(votes,SMALL(IF(DColumn=District,ROW(DColumn)),ROW(Sheet2!60:60)),4))</f>
        <v/>
      </c>
      <c r="E75" s="19">
        <f t="shared" si="0"/>
        <v>0</v>
      </c>
      <c r="F75">
        <v>0</v>
      </c>
    </row>
    <row r="76" spans="2:6" x14ac:dyDescent="0.3">
      <c r="B76" s="3" t="str">
        <f t="array" ref="B76">IF(ISERROR(INDEX(votes,SMALL(IF(DColumn=District,ROW(DColumn)),ROW(Sheet2!61:61)),2)),"",INDEX(votes,SMALL(IF(DColumn=District,ROW(DColumn)),ROW(Sheet2!61:61)),2))</f>
        <v/>
      </c>
      <c r="C76" s="3" t="str">
        <f t="array" ref="C76">IF(ISERROR(INDEX(votes,SMALL(IF(DColumn=District,ROW(DColumn)),ROW(Sheet2!61:61)),3)),"",INDEX(votes,SMALL(IF(DColumn=District,ROW(DColumn)),ROW(Sheet2!61:61)),3))</f>
        <v/>
      </c>
      <c r="D76" s="4" t="str">
        <f t="array" ref="D76">IF(ISERROR(INDEX(votes,SMALL(IF(DColumn=District,ROW(DColumn)),ROW(Sheet2!61:61)),4)),"",INDEX(votes,SMALL(IF(DColumn=District,ROW(DColumn)),ROW(Sheet2!61:61)),4))</f>
        <v/>
      </c>
      <c r="E76" s="19">
        <f t="shared" si="0"/>
        <v>0</v>
      </c>
      <c r="F76">
        <v>0</v>
      </c>
    </row>
    <row r="77" spans="2:6" x14ac:dyDescent="0.3">
      <c r="B77" s="3" t="str">
        <f t="array" ref="B77">IF(ISERROR(INDEX(votes,SMALL(IF(DColumn=District,ROW(DColumn)),ROW(Sheet2!62:62)),2)),"",INDEX(votes,SMALL(IF(DColumn=District,ROW(DColumn)),ROW(Sheet2!62:62)),2))</f>
        <v/>
      </c>
      <c r="C77" s="3" t="str">
        <f t="array" ref="C77">IF(ISERROR(INDEX(votes,SMALL(IF(DColumn=District,ROW(DColumn)),ROW(Sheet2!62:62)),3)),"",INDEX(votes,SMALL(IF(DColumn=District,ROW(DColumn)),ROW(Sheet2!62:62)),3))</f>
        <v/>
      </c>
      <c r="D77" s="4" t="str">
        <f t="array" ref="D77">IF(ISERROR(INDEX(votes,SMALL(IF(DColumn=District,ROW(DColumn)),ROW(Sheet2!62:62)),4)),"",INDEX(votes,SMALL(IF(DColumn=District,ROW(DColumn)),ROW(Sheet2!62:62)),4))</f>
        <v/>
      </c>
      <c r="E77" s="19">
        <f t="shared" si="0"/>
        <v>0</v>
      </c>
      <c r="F77">
        <v>0</v>
      </c>
    </row>
    <row r="78" spans="2:6" x14ac:dyDescent="0.3">
      <c r="B78" s="3" t="str">
        <f t="array" ref="B78">IF(ISERROR(INDEX(votes,SMALL(IF(DColumn=District,ROW(DColumn)),ROW(Sheet2!63:63)),2)),"",INDEX(votes,SMALL(IF(DColumn=District,ROW(DColumn)),ROW(Sheet2!63:63)),2))</f>
        <v/>
      </c>
      <c r="C78" s="3" t="str">
        <f t="array" ref="C78">IF(ISERROR(INDEX(votes,SMALL(IF(DColumn=District,ROW(DColumn)),ROW(Sheet2!63:63)),3)),"",INDEX(votes,SMALL(IF(DColumn=District,ROW(DColumn)),ROW(Sheet2!63:63)),3))</f>
        <v/>
      </c>
      <c r="D78" s="4" t="str">
        <f t="array" ref="D78">IF(ISERROR(INDEX(votes,SMALL(IF(DColumn=District,ROW(DColumn)),ROW(Sheet2!63:63)),4)),"",INDEX(votes,SMALL(IF(DColumn=District,ROW(DColumn)),ROW(Sheet2!63:63)),4))</f>
        <v/>
      </c>
      <c r="E78" s="19">
        <f t="shared" si="0"/>
        <v>0</v>
      </c>
      <c r="F78">
        <v>0</v>
      </c>
    </row>
    <row r="79" spans="2:6" x14ac:dyDescent="0.3">
      <c r="B79" s="3" t="str">
        <f t="array" ref="B79">IF(ISERROR(INDEX(votes,SMALL(IF(DColumn=District,ROW(DColumn)),ROW(Sheet2!64:64)),2)),"",INDEX(votes,SMALL(IF(DColumn=District,ROW(DColumn)),ROW(Sheet2!64:64)),2))</f>
        <v/>
      </c>
      <c r="C79" s="3" t="str">
        <f t="array" ref="C79">IF(ISERROR(INDEX(votes,SMALL(IF(DColumn=District,ROW(DColumn)),ROW(Sheet2!64:64)),3)),"",INDEX(votes,SMALL(IF(DColumn=District,ROW(DColumn)),ROW(Sheet2!64:64)),3))</f>
        <v/>
      </c>
      <c r="D79" s="4" t="str">
        <f t="array" ref="D79">IF(ISERROR(INDEX(votes,SMALL(IF(DColumn=District,ROW(DColumn)),ROW(Sheet2!64:64)),4)),"",INDEX(votes,SMALL(IF(DColumn=District,ROW(DColumn)),ROW(Sheet2!64:64)),4))</f>
        <v/>
      </c>
      <c r="E79" s="19">
        <f t="shared" si="0"/>
        <v>0</v>
      </c>
      <c r="F79">
        <v>0</v>
      </c>
    </row>
    <row r="80" spans="2:6" x14ac:dyDescent="0.3">
      <c r="B80" s="3" t="str">
        <f t="array" ref="B80">IF(ISERROR(INDEX(votes,SMALL(IF(DColumn=District,ROW(DColumn)),ROW(Sheet2!65:65)),2)),"",INDEX(votes,SMALL(IF(DColumn=District,ROW(DColumn)),ROW(Sheet2!65:65)),2))</f>
        <v/>
      </c>
      <c r="C80" s="3" t="str">
        <f t="array" ref="C80">IF(ISERROR(INDEX(votes,SMALL(IF(DColumn=District,ROW(DColumn)),ROW(Sheet2!65:65)),3)),"",INDEX(votes,SMALL(IF(DColumn=District,ROW(DColumn)),ROW(Sheet2!65:65)),3))</f>
        <v/>
      </c>
      <c r="D80" s="4" t="str">
        <f t="array" ref="D80">IF(ISERROR(INDEX(votes,SMALL(IF(DColumn=District,ROW(DColumn)),ROW(Sheet2!65:65)),4)),"",INDEX(votes,SMALL(IF(DColumn=District,ROW(DColumn)),ROW(Sheet2!65:65)),4))</f>
        <v/>
      </c>
      <c r="E80" s="19">
        <f t="shared" ref="E80:E143" si="3">IFERROR(IF(F80=0,0,IF(ISBLANK(F80),D80/2,D80/F80)),"")</f>
        <v>0</v>
      </c>
      <c r="F80">
        <v>0</v>
      </c>
    </row>
    <row r="81" spans="2:6" x14ac:dyDescent="0.3">
      <c r="B81" s="3" t="str">
        <f t="array" ref="B81">IF(ISERROR(INDEX(votes,SMALL(IF(DColumn=District,ROW(DColumn)),ROW(Sheet2!66:66)),2)),"",INDEX(votes,SMALL(IF(DColumn=District,ROW(DColumn)),ROW(Sheet2!66:66)),2))</f>
        <v/>
      </c>
      <c r="C81" s="3" t="str">
        <f t="array" ref="C81">IF(ISERROR(INDEX(votes,SMALL(IF(DColumn=District,ROW(DColumn)),ROW(Sheet2!66:66)),3)),"",INDEX(votes,SMALL(IF(DColumn=District,ROW(DColumn)),ROW(Sheet2!66:66)),3))</f>
        <v/>
      </c>
      <c r="D81" s="4" t="str">
        <f t="array" ref="D81">IF(ISERROR(INDEX(votes,SMALL(IF(DColumn=District,ROW(DColumn)),ROW(Sheet2!66:66)),4)),"",INDEX(votes,SMALL(IF(DColumn=District,ROW(DColumn)),ROW(Sheet2!66:66)),4))</f>
        <v/>
      </c>
      <c r="E81" s="19">
        <f t="shared" si="3"/>
        <v>0</v>
      </c>
      <c r="F81">
        <v>0</v>
      </c>
    </row>
    <row r="82" spans="2:6" x14ac:dyDescent="0.3">
      <c r="B82" s="3" t="str">
        <f t="array" ref="B82">IF(ISERROR(INDEX(votes,SMALL(IF(DColumn=District,ROW(DColumn)),ROW(Sheet2!67:67)),2)),"",INDEX(votes,SMALL(IF(DColumn=District,ROW(DColumn)),ROW(Sheet2!67:67)),2))</f>
        <v/>
      </c>
      <c r="C82" s="3" t="str">
        <f t="array" ref="C82">IF(ISERROR(INDEX(votes,SMALL(IF(DColumn=District,ROW(DColumn)),ROW(Sheet2!67:67)),3)),"",INDEX(votes,SMALL(IF(DColumn=District,ROW(DColumn)),ROW(Sheet2!67:67)),3))</f>
        <v/>
      </c>
      <c r="D82" s="4" t="str">
        <f t="array" ref="D82">IF(ISERROR(INDEX(votes,SMALL(IF(DColumn=District,ROW(DColumn)),ROW(Sheet2!67:67)),4)),"",INDEX(votes,SMALL(IF(DColumn=District,ROW(DColumn)),ROW(Sheet2!67:67)),4))</f>
        <v/>
      </c>
      <c r="E82" s="19">
        <f t="shared" si="3"/>
        <v>0</v>
      </c>
      <c r="F82">
        <v>0</v>
      </c>
    </row>
    <row r="83" spans="2:6" x14ac:dyDescent="0.3">
      <c r="B83" s="3" t="str">
        <f t="array" ref="B83">IF(ISERROR(INDEX(votes,SMALL(IF(DColumn=District,ROW(DColumn)),ROW(Sheet2!68:68)),2)),"",INDEX(votes,SMALL(IF(DColumn=District,ROW(DColumn)),ROW(Sheet2!68:68)),2))</f>
        <v/>
      </c>
      <c r="C83" s="3" t="str">
        <f t="array" ref="C83">IF(ISERROR(INDEX(votes,SMALL(IF(DColumn=District,ROW(DColumn)),ROW(Sheet2!68:68)),3)),"",INDEX(votes,SMALL(IF(DColumn=District,ROW(DColumn)),ROW(Sheet2!68:68)),3))</f>
        <v/>
      </c>
      <c r="D83" s="4" t="str">
        <f t="array" ref="D83">IF(ISERROR(INDEX(votes,SMALL(IF(DColumn=District,ROW(DColumn)),ROW(Sheet2!68:68)),4)),"",INDEX(votes,SMALL(IF(DColumn=District,ROW(DColumn)),ROW(Sheet2!68:68)),4))</f>
        <v/>
      </c>
      <c r="E83" s="19">
        <f t="shared" si="3"/>
        <v>0</v>
      </c>
      <c r="F83">
        <v>0</v>
      </c>
    </row>
    <row r="84" spans="2:6" x14ac:dyDescent="0.3">
      <c r="B84" s="3" t="str">
        <f t="array" ref="B84">IF(ISERROR(INDEX(votes,SMALL(IF(DColumn=District,ROW(DColumn)),ROW(Sheet2!69:69)),2)),"",INDEX(votes,SMALL(IF(DColumn=District,ROW(DColumn)),ROW(Sheet2!69:69)),2))</f>
        <v/>
      </c>
      <c r="C84" s="3" t="str">
        <f t="array" ref="C84">IF(ISERROR(INDEX(votes,SMALL(IF(DColumn=District,ROW(DColumn)),ROW(Sheet2!69:69)),3)),"",INDEX(votes,SMALL(IF(DColumn=District,ROW(DColumn)),ROW(Sheet2!69:69)),3))</f>
        <v/>
      </c>
      <c r="D84" s="4" t="str">
        <f t="array" ref="D84">IF(ISERROR(INDEX(votes,SMALL(IF(DColumn=District,ROW(DColumn)),ROW(Sheet2!69:69)),4)),"",INDEX(votes,SMALL(IF(DColumn=District,ROW(DColumn)),ROW(Sheet2!69:69)),4))</f>
        <v/>
      </c>
      <c r="E84" s="19">
        <f t="shared" si="3"/>
        <v>0</v>
      </c>
      <c r="F84">
        <v>0</v>
      </c>
    </row>
    <row r="85" spans="2:6" x14ac:dyDescent="0.3">
      <c r="B85" s="3" t="str">
        <f t="array" ref="B85">IF(ISERROR(INDEX(votes,SMALL(IF(DColumn=District,ROW(DColumn)),ROW(Sheet2!70:70)),2)),"",INDEX(votes,SMALL(IF(DColumn=District,ROW(DColumn)),ROW(Sheet2!70:70)),2))</f>
        <v/>
      </c>
      <c r="C85" s="3" t="str">
        <f t="array" ref="C85">IF(ISERROR(INDEX(votes,SMALL(IF(DColumn=District,ROW(DColumn)),ROW(Sheet2!70:70)),3)),"",INDEX(votes,SMALL(IF(DColumn=District,ROW(DColumn)),ROW(Sheet2!70:70)),3))</f>
        <v/>
      </c>
      <c r="D85" s="4" t="str">
        <f t="array" ref="D85">IF(ISERROR(INDEX(votes,SMALL(IF(DColumn=District,ROW(DColumn)),ROW(Sheet2!70:70)),4)),"",INDEX(votes,SMALL(IF(DColumn=District,ROW(DColumn)),ROW(Sheet2!70:70)),4))</f>
        <v/>
      </c>
      <c r="E85" s="19">
        <f t="shared" si="3"/>
        <v>0</v>
      </c>
      <c r="F85">
        <v>0</v>
      </c>
    </row>
    <row r="86" spans="2:6" x14ac:dyDescent="0.3">
      <c r="B86" s="3" t="str">
        <f t="array" ref="B86">IF(ISERROR(INDEX(votes,SMALL(IF(DColumn=District,ROW(DColumn)),ROW(Sheet2!71:71)),2)),"",INDEX(votes,SMALL(IF(DColumn=District,ROW(DColumn)),ROW(Sheet2!71:71)),2))</f>
        <v/>
      </c>
      <c r="C86" s="3" t="str">
        <f t="array" ref="C86">IF(ISERROR(INDEX(votes,SMALL(IF(DColumn=District,ROW(DColumn)),ROW(Sheet2!71:71)),3)),"",INDEX(votes,SMALL(IF(DColumn=District,ROW(DColumn)),ROW(Sheet2!71:71)),3))</f>
        <v/>
      </c>
      <c r="D86" s="4" t="str">
        <f t="array" ref="D86">IF(ISERROR(INDEX(votes,SMALL(IF(DColumn=District,ROW(DColumn)),ROW(Sheet2!71:71)),4)),"",INDEX(votes,SMALL(IF(DColumn=District,ROW(DColumn)),ROW(Sheet2!71:71)),4))</f>
        <v/>
      </c>
      <c r="E86" s="19">
        <f t="shared" si="3"/>
        <v>0</v>
      </c>
      <c r="F86">
        <v>0</v>
      </c>
    </row>
    <row r="87" spans="2:6" x14ac:dyDescent="0.3">
      <c r="B87" s="3" t="str">
        <f t="array" ref="B87">IF(ISERROR(INDEX(votes,SMALL(IF(DColumn=District,ROW(DColumn)),ROW(Sheet2!72:72)),2)),"",INDEX(votes,SMALL(IF(DColumn=District,ROW(DColumn)),ROW(Sheet2!72:72)),2))</f>
        <v/>
      </c>
      <c r="C87" s="3" t="str">
        <f t="array" ref="C87">IF(ISERROR(INDEX(votes,SMALL(IF(DColumn=District,ROW(DColumn)),ROW(Sheet2!72:72)),3)),"",INDEX(votes,SMALL(IF(DColumn=District,ROW(DColumn)),ROW(Sheet2!72:72)),3))</f>
        <v/>
      </c>
      <c r="D87" s="4" t="str">
        <f t="array" ref="D87">IF(ISERROR(INDEX(votes,SMALL(IF(DColumn=District,ROW(DColumn)),ROW(Sheet2!72:72)),4)),"",INDEX(votes,SMALL(IF(DColumn=District,ROW(DColumn)),ROW(Sheet2!72:72)),4))</f>
        <v/>
      </c>
      <c r="E87" s="19">
        <f t="shared" si="3"/>
        <v>0</v>
      </c>
      <c r="F87">
        <v>0</v>
      </c>
    </row>
    <row r="88" spans="2:6" x14ac:dyDescent="0.3">
      <c r="B88" s="3" t="str">
        <f t="array" ref="B88">IF(ISERROR(INDEX(votes,SMALL(IF(DColumn=District,ROW(DColumn)),ROW(Sheet2!73:73)),2)),"",INDEX(votes,SMALL(IF(DColumn=District,ROW(DColumn)),ROW(Sheet2!73:73)),2))</f>
        <v/>
      </c>
      <c r="C88" s="3" t="str">
        <f t="array" ref="C88">IF(ISERROR(INDEX(votes,SMALL(IF(DColumn=District,ROW(DColumn)),ROW(Sheet2!73:73)),3)),"",INDEX(votes,SMALL(IF(DColumn=District,ROW(DColumn)),ROW(Sheet2!73:73)),3))</f>
        <v/>
      </c>
      <c r="D88" s="4" t="str">
        <f t="array" ref="D88">IF(ISERROR(INDEX(votes,SMALL(IF(DColumn=District,ROW(DColumn)),ROW(Sheet2!73:73)),4)),"",INDEX(votes,SMALL(IF(DColumn=District,ROW(DColumn)),ROW(Sheet2!73:73)),4))</f>
        <v/>
      </c>
      <c r="E88" s="19">
        <f t="shared" si="3"/>
        <v>0</v>
      </c>
      <c r="F88">
        <v>0</v>
      </c>
    </row>
    <row r="89" spans="2:6" x14ac:dyDescent="0.3">
      <c r="B89" s="3" t="str">
        <f t="array" ref="B89">IF(ISERROR(INDEX(votes,SMALL(IF(DColumn=District,ROW(DColumn)),ROW(Sheet2!74:74)),2)),"",INDEX(votes,SMALL(IF(DColumn=District,ROW(DColumn)),ROW(Sheet2!74:74)),2))</f>
        <v/>
      </c>
      <c r="C89" s="3" t="str">
        <f t="array" ref="C89">IF(ISERROR(INDEX(votes,SMALL(IF(DColumn=District,ROW(DColumn)),ROW(Sheet2!74:74)),3)),"",INDEX(votes,SMALL(IF(DColumn=District,ROW(DColumn)),ROW(Sheet2!74:74)),3))</f>
        <v/>
      </c>
      <c r="D89" s="4" t="str">
        <f t="array" ref="D89">IF(ISERROR(INDEX(votes,SMALL(IF(DColumn=District,ROW(DColumn)),ROW(Sheet2!74:74)),4)),"",INDEX(votes,SMALL(IF(DColumn=District,ROW(DColumn)),ROW(Sheet2!74:74)),4))</f>
        <v/>
      </c>
      <c r="E89" s="19">
        <f t="shared" si="3"/>
        <v>0</v>
      </c>
      <c r="F89">
        <v>0</v>
      </c>
    </row>
    <row r="90" spans="2:6" x14ac:dyDescent="0.3">
      <c r="B90" s="3" t="str">
        <f t="array" ref="B90">IF(ISERROR(INDEX(votes,SMALL(IF(DColumn=District,ROW(DColumn)),ROW(Sheet2!75:75)),2)),"",INDEX(votes,SMALL(IF(DColumn=District,ROW(DColumn)),ROW(Sheet2!75:75)),2))</f>
        <v/>
      </c>
      <c r="C90" s="3" t="str">
        <f t="array" ref="C90">IF(ISERROR(INDEX(votes,SMALL(IF(DColumn=District,ROW(DColumn)),ROW(Sheet2!75:75)),3)),"",INDEX(votes,SMALL(IF(DColumn=District,ROW(DColumn)),ROW(Sheet2!75:75)),3))</f>
        <v/>
      </c>
      <c r="D90" s="4" t="str">
        <f t="array" ref="D90">IF(ISERROR(INDEX(votes,SMALL(IF(DColumn=District,ROW(DColumn)),ROW(Sheet2!75:75)),4)),"",INDEX(votes,SMALL(IF(DColumn=District,ROW(DColumn)),ROW(Sheet2!75:75)),4))</f>
        <v/>
      </c>
      <c r="E90" s="19">
        <f t="shared" si="3"/>
        <v>0</v>
      </c>
      <c r="F90">
        <v>0</v>
      </c>
    </row>
    <row r="91" spans="2:6" x14ac:dyDescent="0.3">
      <c r="B91" s="3" t="str">
        <f t="array" ref="B91">IF(ISERROR(INDEX(votes,SMALL(IF(DColumn=District,ROW(DColumn)),ROW(Sheet2!76:76)),2)),"",INDEX(votes,SMALL(IF(DColumn=District,ROW(DColumn)),ROW(Sheet2!76:76)),2))</f>
        <v/>
      </c>
      <c r="C91" s="3" t="str">
        <f t="array" ref="C91">IF(ISERROR(INDEX(votes,SMALL(IF(DColumn=District,ROW(DColumn)),ROW(Sheet2!76:76)),3)),"",INDEX(votes,SMALL(IF(DColumn=District,ROW(DColumn)),ROW(Sheet2!76:76)),3))</f>
        <v/>
      </c>
      <c r="D91" s="4" t="str">
        <f t="array" ref="D91">IF(ISERROR(INDEX(votes,SMALL(IF(DColumn=District,ROW(DColumn)),ROW(Sheet2!76:76)),4)),"",INDEX(votes,SMALL(IF(DColumn=District,ROW(DColumn)),ROW(Sheet2!76:76)),4))</f>
        <v/>
      </c>
      <c r="E91" s="19">
        <f t="shared" si="3"/>
        <v>0</v>
      </c>
      <c r="F91">
        <v>0</v>
      </c>
    </row>
    <row r="92" spans="2:6" x14ac:dyDescent="0.3">
      <c r="B92" s="3" t="str">
        <f t="array" ref="B92">IF(ISERROR(INDEX(votes,SMALL(IF(DColumn=District,ROW(DColumn)),ROW(Sheet2!77:77)),2)),"",INDEX(votes,SMALL(IF(DColumn=District,ROW(DColumn)),ROW(Sheet2!77:77)),2))</f>
        <v/>
      </c>
      <c r="C92" s="3" t="str">
        <f t="array" ref="C92">IF(ISERROR(INDEX(votes,SMALL(IF(DColumn=District,ROW(DColumn)),ROW(Sheet2!77:77)),3)),"",INDEX(votes,SMALL(IF(DColumn=District,ROW(DColumn)),ROW(Sheet2!77:77)),3))</f>
        <v/>
      </c>
      <c r="D92" s="4" t="str">
        <f t="array" ref="D92">IF(ISERROR(INDEX(votes,SMALL(IF(DColumn=District,ROW(DColumn)),ROW(Sheet2!77:77)),4)),"",INDEX(votes,SMALL(IF(DColumn=District,ROW(DColumn)),ROW(Sheet2!77:77)),4))</f>
        <v/>
      </c>
      <c r="E92" s="19">
        <f t="shared" si="3"/>
        <v>0</v>
      </c>
      <c r="F92">
        <v>0</v>
      </c>
    </row>
    <row r="93" spans="2:6" x14ac:dyDescent="0.3">
      <c r="B93" s="3" t="str">
        <f t="array" ref="B93">IF(ISERROR(INDEX(votes,SMALL(IF(DColumn=District,ROW(DColumn)),ROW(Sheet2!78:78)),2)),"",INDEX(votes,SMALL(IF(DColumn=District,ROW(DColumn)),ROW(Sheet2!78:78)),2))</f>
        <v/>
      </c>
      <c r="C93" s="3" t="str">
        <f t="array" ref="C93">IF(ISERROR(INDEX(votes,SMALL(IF(DColumn=District,ROW(DColumn)),ROW(Sheet2!78:78)),3)),"",INDEX(votes,SMALL(IF(DColumn=District,ROW(DColumn)),ROW(Sheet2!78:78)),3))</f>
        <v/>
      </c>
      <c r="D93" s="4" t="str">
        <f t="array" ref="D93">IF(ISERROR(INDEX(votes,SMALL(IF(DColumn=District,ROW(DColumn)),ROW(Sheet2!78:78)),4)),"",INDEX(votes,SMALL(IF(DColumn=District,ROW(DColumn)),ROW(Sheet2!78:78)),4))</f>
        <v/>
      </c>
      <c r="E93" s="19">
        <f t="shared" si="3"/>
        <v>0</v>
      </c>
      <c r="F93">
        <v>0</v>
      </c>
    </row>
    <row r="94" spans="2:6" x14ac:dyDescent="0.3">
      <c r="B94" s="3" t="str">
        <f t="array" ref="B94">IF(ISERROR(INDEX(votes,SMALL(IF(DColumn=District,ROW(DColumn)),ROW(Sheet2!79:79)),2)),"",INDEX(votes,SMALL(IF(DColumn=District,ROW(DColumn)),ROW(Sheet2!79:79)),2))</f>
        <v/>
      </c>
      <c r="C94" s="3" t="str">
        <f t="array" ref="C94">IF(ISERROR(INDEX(votes,SMALL(IF(DColumn=District,ROW(DColumn)),ROW(Sheet2!79:79)),3)),"",INDEX(votes,SMALL(IF(DColumn=District,ROW(DColumn)),ROW(Sheet2!79:79)),3))</f>
        <v/>
      </c>
      <c r="D94" s="4" t="str">
        <f t="array" ref="D94">IF(ISERROR(INDEX(votes,SMALL(IF(DColumn=District,ROW(DColumn)),ROW(Sheet2!79:79)),4)),"",INDEX(votes,SMALL(IF(DColumn=District,ROW(DColumn)),ROW(Sheet2!79:79)),4))</f>
        <v/>
      </c>
      <c r="E94" s="19">
        <f t="shared" si="3"/>
        <v>0</v>
      </c>
      <c r="F94">
        <v>0</v>
      </c>
    </row>
    <row r="95" spans="2:6" x14ac:dyDescent="0.3">
      <c r="B95" s="3" t="str">
        <f t="array" ref="B95">IF(ISERROR(INDEX(votes,SMALL(IF(DColumn=District,ROW(DColumn)),ROW(Sheet2!80:80)),2)),"",INDEX(votes,SMALL(IF(DColumn=District,ROW(DColumn)),ROW(Sheet2!80:80)),2))</f>
        <v/>
      </c>
      <c r="C95" s="3" t="str">
        <f t="array" ref="C95">IF(ISERROR(INDEX(votes,SMALL(IF(DColumn=District,ROW(DColumn)),ROW(Sheet2!80:80)),3)),"",INDEX(votes,SMALL(IF(DColumn=District,ROW(DColumn)),ROW(Sheet2!80:80)),3))</f>
        <v/>
      </c>
      <c r="D95" s="4" t="str">
        <f t="array" ref="D95">IF(ISERROR(INDEX(votes,SMALL(IF(DColumn=District,ROW(DColumn)),ROW(Sheet2!80:80)),4)),"",INDEX(votes,SMALL(IF(DColumn=District,ROW(DColumn)),ROW(Sheet2!80:80)),4))</f>
        <v/>
      </c>
      <c r="E95" s="19">
        <f t="shared" si="3"/>
        <v>0</v>
      </c>
      <c r="F95">
        <v>0</v>
      </c>
    </row>
    <row r="96" spans="2:6" x14ac:dyDescent="0.3">
      <c r="B96" s="3" t="str">
        <f t="array" ref="B96">IF(ISERROR(INDEX(votes,SMALL(IF(DColumn=District,ROW(DColumn)),ROW(Sheet2!81:81)),2)),"",INDEX(votes,SMALL(IF(DColumn=District,ROW(DColumn)),ROW(Sheet2!81:81)),2))</f>
        <v/>
      </c>
      <c r="C96" s="3" t="str">
        <f t="array" ref="C96">IF(ISERROR(INDEX(votes,SMALL(IF(DColumn=District,ROW(DColumn)),ROW(Sheet2!81:81)),3)),"",INDEX(votes,SMALL(IF(DColumn=District,ROW(DColumn)),ROW(Sheet2!81:81)),3))</f>
        <v/>
      </c>
      <c r="D96" s="4" t="str">
        <f t="array" ref="D96">IF(ISERROR(INDEX(votes,SMALL(IF(DColumn=District,ROW(DColumn)),ROW(Sheet2!81:81)),4)),"",INDEX(votes,SMALL(IF(DColumn=District,ROW(DColumn)),ROW(Sheet2!81:81)),4))</f>
        <v/>
      </c>
      <c r="E96" s="19">
        <f t="shared" si="3"/>
        <v>0</v>
      </c>
      <c r="F96">
        <v>0</v>
      </c>
    </row>
    <row r="97" spans="2:6" x14ac:dyDescent="0.3">
      <c r="B97" s="3" t="str">
        <f t="array" ref="B97">IF(ISERROR(INDEX(votes,SMALL(IF(DColumn=District,ROW(DColumn)),ROW(Sheet2!82:82)),2)),"",INDEX(votes,SMALL(IF(DColumn=District,ROW(DColumn)),ROW(Sheet2!82:82)),2))</f>
        <v/>
      </c>
      <c r="C97" s="3" t="str">
        <f t="array" ref="C97">IF(ISERROR(INDEX(votes,SMALL(IF(DColumn=District,ROW(DColumn)),ROW(Sheet2!82:82)),3)),"",INDEX(votes,SMALL(IF(DColumn=District,ROW(DColumn)),ROW(Sheet2!82:82)),3))</f>
        <v/>
      </c>
      <c r="D97" s="4" t="str">
        <f t="array" ref="D97">IF(ISERROR(INDEX(votes,SMALL(IF(DColumn=District,ROW(DColumn)),ROW(Sheet2!82:82)),4)),"",INDEX(votes,SMALL(IF(DColumn=District,ROW(DColumn)),ROW(Sheet2!82:82)),4))</f>
        <v/>
      </c>
      <c r="E97" s="19">
        <f t="shared" si="3"/>
        <v>0</v>
      </c>
      <c r="F97">
        <v>0</v>
      </c>
    </row>
    <row r="98" spans="2:6" x14ac:dyDescent="0.3">
      <c r="B98" s="3" t="str">
        <f t="array" ref="B98">IF(ISERROR(INDEX(votes,SMALL(IF(DColumn=District,ROW(DColumn)),ROW(Sheet2!83:83)),2)),"",INDEX(votes,SMALL(IF(DColumn=District,ROW(DColumn)),ROW(Sheet2!83:83)),2))</f>
        <v/>
      </c>
      <c r="C98" s="3" t="str">
        <f t="array" ref="C98">IF(ISERROR(INDEX(votes,SMALL(IF(DColumn=District,ROW(DColumn)),ROW(Sheet2!83:83)),3)),"",INDEX(votes,SMALL(IF(DColumn=District,ROW(DColumn)),ROW(Sheet2!83:83)),3))</f>
        <v/>
      </c>
      <c r="D98" s="4" t="str">
        <f t="array" ref="D98">IF(ISERROR(INDEX(votes,SMALL(IF(DColumn=District,ROW(DColumn)),ROW(Sheet2!83:83)),4)),"",INDEX(votes,SMALL(IF(DColumn=District,ROW(DColumn)),ROW(Sheet2!83:83)),4))</f>
        <v/>
      </c>
      <c r="E98" s="19">
        <f t="shared" si="3"/>
        <v>0</v>
      </c>
      <c r="F98">
        <v>0</v>
      </c>
    </row>
    <row r="99" spans="2:6" x14ac:dyDescent="0.3">
      <c r="B99" s="3" t="str">
        <f t="array" ref="B99">IF(ISERROR(INDEX(votes,SMALL(IF(DColumn=District,ROW(DColumn)),ROW(Sheet2!84:84)),2)),"",INDEX(votes,SMALL(IF(DColumn=District,ROW(DColumn)),ROW(Sheet2!84:84)),2))</f>
        <v/>
      </c>
      <c r="C99" s="3" t="str">
        <f t="array" ref="C99">IF(ISERROR(INDEX(votes,SMALL(IF(DColumn=District,ROW(DColumn)),ROW(Sheet2!84:84)),3)),"",INDEX(votes,SMALL(IF(DColumn=District,ROW(DColumn)),ROW(Sheet2!84:84)),3))</f>
        <v/>
      </c>
      <c r="D99" s="4" t="str">
        <f t="array" ref="D99">IF(ISERROR(INDEX(votes,SMALL(IF(DColumn=District,ROW(DColumn)),ROW(Sheet2!84:84)),4)),"",INDEX(votes,SMALL(IF(DColumn=District,ROW(DColumn)),ROW(Sheet2!84:84)),4))</f>
        <v/>
      </c>
      <c r="E99" s="19">
        <f t="shared" si="3"/>
        <v>0</v>
      </c>
      <c r="F99">
        <v>0</v>
      </c>
    </row>
    <row r="100" spans="2:6" x14ac:dyDescent="0.3">
      <c r="B100" s="3" t="str">
        <f t="array" ref="B100">IF(ISERROR(INDEX(votes,SMALL(IF(DColumn=District,ROW(DColumn)),ROW(Sheet2!85:85)),2)),"",INDEX(votes,SMALL(IF(DColumn=District,ROW(DColumn)),ROW(Sheet2!85:85)),2))</f>
        <v/>
      </c>
      <c r="C100" s="3" t="str">
        <f t="array" ref="C100">IF(ISERROR(INDEX(votes,SMALL(IF(DColumn=District,ROW(DColumn)),ROW(Sheet2!85:85)),3)),"",INDEX(votes,SMALL(IF(DColumn=District,ROW(DColumn)),ROW(Sheet2!85:85)),3))</f>
        <v/>
      </c>
      <c r="D100" s="4" t="str">
        <f t="array" ref="D100">IF(ISERROR(INDEX(votes,SMALL(IF(DColumn=District,ROW(DColumn)),ROW(Sheet2!85:85)),4)),"",INDEX(votes,SMALL(IF(DColumn=District,ROW(DColumn)),ROW(Sheet2!85:85)),4))</f>
        <v/>
      </c>
      <c r="E100" s="19">
        <f t="shared" si="3"/>
        <v>0</v>
      </c>
      <c r="F100">
        <v>0</v>
      </c>
    </row>
    <row r="101" spans="2:6" x14ac:dyDescent="0.3">
      <c r="B101" s="3" t="str">
        <f t="array" ref="B101">IF(ISERROR(INDEX(votes,SMALL(IF(DColumn=District,ROW(DColumn)),ROW(Sheet2!86:86)),2)),"",INDEX(votes,SMALL(IF(DColumn=District,ROW(DColumn)),ROW(Sheet2!86:86)),2))</f>
        <v/>
      </c>
      <c r="C101" s="3" t="str">
        <f t="array" ref="C101">IF(ISERROR(INDEX(votes,SMALL(IF(DColumn=District,ROW(DColumn)),ROW(Sheet2!86:86)),3)),"",INDEX(votes,SMALL(IF(DColumn=District,ROW(DColumn)),ROW(Sheet2!86:86)),3))</f>
        <v/>
      </c>
      <c r="D101" s="4" t="str">
        <f t="array" ref="D101">IF(ISERROR(INDEX(votes,SMALL(IF(DColumn=District,ROW(DColumn)),ROW(Sheet2!86:86)),4)),"",INDEX(votes,SMALL(IF(DColumn=District,ROW(DColumn)),ROW(Sheet2!86:86)),4))</f>
        <v/>
      </c>
      <c r="E101" s="19">
        <f t="shared" si="3"/>
        <v>0</v>
      </c>
      <c r="F101">
        <v>0</v>
      </c>
    </row>
    <row r="102" spans="2:6" x14ac:dyDescent="0.3">
      <c r="B102" s="3" t="str">
        <f t="array" ref="B102">IF(ISERROR(INDEX(votes,SMALL(IF(DColumn=District,ROW(DColumn)),ROW(Sheet2!87:87)),2)),"",INDEX(votes,SMALL(IF(DColumn=District,ROW(DColumn)),ROW(Sheet2!87:87)),2))</f>
        <v/>
      </c>
      <c r="C102" s="3" t="str">
        <f t="array" ref="C102">IF(ISERROR(INDEX(votes,SMALL(IF(DColumn=District,ROW(DColumn)),ROW(Sheet2!87:87)),3)),"",INDEX(votes,SMALL(IF(DColumn=District,ROW(DColumn)),ROW(Sheet2!87:87)),3))</f>
        <v/>
      </c>
      <c r="D102" s="4" t="str">
        <f t="array" ref="D102">IF(ISERROR(INDEX(votes,SMALL(IF(DColumn=District,ROW(DColumn)),ROW(Sheet2!87:87)),4)),"",INDEX(votes,SMALL(IF(DColumn=District,ROW(DColumn)),ROW(Sheet2!87:87)),4))</f>
        <v/>
      </c>
      <c r="E102" s="19">
        <f t="shared" si="3"/>
        <v>0</v>
      </c>
      <c r="F102">
        <v>0</v>
      </c>
    </row>
    <row r="103" spans="2:6" x14ac:dyDescent="0.3">
      <c r="B103" s="3" t="str">
        <f t="array" ref="B103">IF(ISERROR(INDEX(votes,SMALL(IF(DColumn=District,ROW(DColumn)),ROW(Sheet2!88:88)),2)),"",INDEX(votes,SMALL(IF(DColumn=District,ROW(DColumn)),ROW(Sheet2!88:88)),2))</f>
        <v/>
      </c>
      <c r="C103" s="3" t="str">
        <f t="array" ref="C103">IF(ISERROR(INDEX(votes,SMALL(IF(DColumn=District,ROW(DColumn)),ROW(Sheet2!88:88)),3)),"",INDEX(votes,SMALL(IF(DColumn=District,ROW(DColumn)),ROW(Sheet2!88:88)),3))</f>
        <v/>
      </c>
      <c r="D103" s="4" t="str">
        <f t="array" ref="D103">IF(ISERROR(INDEX(votes,SMALL(IF(DColumn=District,ROW(DColumn)),ROW(Sheet2!88:88)),4)),"",INDEX(votes,SMALL(IF(DColumn=District,ROW(DColumn)),ROW(Sheet2!88:88)),4))</f>
        <v/>
      </c>
      <c r="E103" s="19">
        <f t="shared" si="3"/>
        <v>0</v>
      </c>
      <c r="F103">
        <v>0</v>
      </c>
    </row>
    <row r="104" spans="2:6" x14ac:dyDescent="0.3">
      <c r="B104" s="3" t="str">
        <f t="array" ref="B104">IF(ISERROR(INDEX(votes,SMALL(IF(DColumn=District,ROW(DColumn)),ROW(Sheet2!89:89)),2)),"",INDEX(votes,SMALL(IF(DColumn=District,ROW(DColumn)),ROW(Sheet2!89:89)),2))</f>
        <v/>
      </c>
      <c r="C104" s="3" t="str">
        <f t="array" ref="C104">IF(ISERROR(INDEX(votes,SMALL(IF(DColumn=District,ROW(DColumn)),ROW(Sheet2!89:89)),3)),"",INDEX(votes,SMALL(IF(DColumn=District,ROW(DColumn)),ROW(Sheet2!89:89)),3))</f>
        <v/>
      </c>
      <c r="D104" s="4" t="str">
        <f t="array" ref="D104">IF(ISERROR(INDEX(votes,SMALL(IF(DColumn=District,ROW(DColumn)),ROW(Sheet2!89:89)),4)),"",INDEX(votes,SMALL(IF(DColumn=District,ROW(DColumn)),ROW(Sheet2!89:89)),4))</f>
        <v/>
      </c>
      <c r="E104" s="19">
        <f t="shared" si="3"/>
        <v>0</v>
      </c>
      <c r="F104">
        <v>0</v>
      </c>
    </row>
    <row r="105" spans="2:6" x14ac:dyDescent="0.3">
      <c r="B105" s="3" t="str">
        <f t="array" ref="B105">IF(ISERROR(INDEX(votes,SMALL(IF(DColumn=District,ROW(DColumn)),ROW(Sheet2!90:90)),2)),"",INDEX(votes,SMALL(IF(DColumn=District,ROW(DColumn)),ROW(Sheet2!90:90)),2))</f>
        <v/>
      </c>
      <c r="C105" s="3" t="str">
        <f t="array" ref="C105">IF(ISERROR(INDEX(votes,SMALL(IF(DColumn=District,ROW(DColumn)),ROW(Sheet2!90:90)),3)),"",INDEX(votes,SMALL(IF(DColumn=District,ROW(DColumn)),ROW(Sheet2!90:90)),3))</f>
        <v/>
      </c>
      <c r="D105" s="4" t="str">
        <f t="array" ref="D105">IF(ISERROR(INDEX(votes,SMALL(IF(DColumn=District,ROW(DColumn)),ROW(Sheet2!90:90)),4)),"",INDEX(votes,SMALL(IF(DColumn=District,ROW(DColumn)),ROW(Sheet2!90:90)),4))</f>
        <v/>
      </c>
      <c r="E105" s="19">
        <f t="shared" si="3"/>
        <v>0</v>
      </c>
      <c r="F105">
        <v>0</v>
      </c>
    </row>
    <row r="106" spans="2:6" x14ac:dyDescent="0.3">
      <c r="B106" s="3" t="str">
        <f t="array" ref="B106">IF(ISERROR(INDEX(votes,SMALL(IF(DColumn=District,ROW(DColumn)),ROW(Sheet2!91:91)),2)),"",INDEX(votes,SMALL(IF(DColumn=District,ROW(DColumn)),ROW(Sheet2!91:91)),2))</f>
        <v/>
      </c>
      <c r="C106" s="3" t="str">
        <f t="array" ref="C106">IF(ISERROR(INDEX(votes,SMALL(IF(DColumn=District,ROW(DColumn)),ROW(Sheet2!91:91)),3)),"",INDEX(votes,SMALL(IF(DColumn=District,ROW(DColumn)),ROW(Sheet2!91:91)),3))</f>
        <v/>
      </c>
      <c r="D106" s="4" t="str">
        <f t="array" ref="D106">IF(ISERROR(INDEX(votes,SMALL(IF(DColumn=District,ROW(DColumn)),ROW(Sheet2!91:91)),4)),"",INDEX(votes,SMALL(IF(DColumn=District,ROW(DColumn)),ROW(Sheet2!91:91)),4))</f>
        <v/>
      </c>
      <c r="E106" s="19">
        <f t="shared" si="3"/>
        <v>0</v>
      </c>
      <c r="F106">
        <v>0</v>
      </c>
    </row>
    <row r="107" spans="2:6" x14ac:dyDescent="0.3">
      <c r="B107" s="3" t="str">
        <f t="array" ref="B107">IF(ISERROR(INDEX(votes,SMALL(IF(DColumn=District,ROW(DColumn)),ROW(Sheet2!92:92)),2)),"",INDEX(votes,SMALL(IF(DColumn=District,ROW(DColumn)),ROW(Sheet2!92:92)),2))</f>
        <v/>
      </c>
      <c r="C107" s="3" t="str">
        <f t="array" ref="C107">IF(ISERROR(INDEX(votes,SMALL(IF(DColumn=District,ROW(DColumn)),ROW(Sheet2!92:92)),3)),"",INDEX(votes,SMALL(IF(DColumn=District,ROW(DColumn)),ROW(Sheet2!92:92)),3))</f>
        <v/>
      </c>
      <c r="D107" s="4" t="str">
        <f t="array" ref="D107">IF(ISERROR(INDEX(votes,SMALL(IF(DColumn=District,ROW(DColumn)),ROW(Sheet2!92:92)),4)),"",INDEX(votes,SMALL(IF(DColumn=District,ROW(DColumn)),ROW(Sheet2!92:92)),4))</f>
        <v/>
      </c>
      <c r="E107" s="19">
        <f t="shared" si="3"/>
        <v>0</v>
      </c>
      <c r="F107">
        <v>0</v>
      </c>
    </row>
    <row r="108" spans="2:6" x14ac:dyDescent="0.3">
      <c r="B108" s="3" t="str">
        <f t="array" ref="B108">IF(ISERROR(INDEX(votes,SMALL(IF(DColumn=District,ROW(DColumn)),ROW(Sheet2!93:93)),2)),"",INDEX(votes,SMALL(IF(DColumn=District,ROW(DColumn)),ROW(Sheet2!93:93)),2))</f>
        <v/>
      </c>
      <c r="C108" s="3" t="str">
        <f t="array" ref="C108">IF(ISERROR(INDEX(votes,SMALL(IF(DColumn=District,ROW(DColumn)),ROW(Sheet2!93:93)),3)),"",INDEX(votes,SMALL(IF(DColumn=District,ROW(DColumn)),ROW(Sheet2!93:93)),3))</f>
        <v/>
      </c>
      <c r="D108" s="4" t="str">
        <f t="array" ref="D108">IF(ISERROR(INDEX(votes,SMALL(IF(DColumn=District,ROW(DColumn)),ROW(Sheet2!93:93)),4)),"",INDEX(votes,SMALL(IF(DColumn=District,ROW(DColumn)),ROW(Sheet2!93:93)),4))</f>
        <v/>
      </c>
      <c r="E108" s="19">
        <f t="shared" si="3"/>
        <v>0</v>
      </c>
      <c r="F108">
        <v>0</v>
      </c>
    </row>
    <row r="109" spans="2:6" x14ac:dyDescent="0.3">
      <c r="B109" s="3" t="str">
        <f t="array" ref="B109">IF(ISERROR(INDEX(votes,SMALL(IF(DColumn=District,ROW(DColumn)),ROW(Sheet2!94:94)),2)),"",INDEX(votes,SMALL(IF(DColumn=District,ROW(DColumn)),ROW(Sheet2!94:94)),2))</f>
        <v/>
      </c>
      <c r="C109" s="3" t="str">
        <f t="array" ref="C109">IF(ISERROR(INDEX(votes,SMALL(IF(DColumn=District,ROW(DColumn)),ROW(Sheet2!94:94)),3)),"",INDEX(votes,SMALL(IF(DColumn=District,ROW(DColumn)),ROW(Sheet2!94:94)),3))</f>
        <v/>
      </c>
      <c r="D109" s="4" t="str">
        <f t="array" ref="D109">IF(ISERROR(INDEX(votes,SMALL(IF(DColumn=District,ROW(DColumn)),ROW(Sheet2!94:94)),4)),"",INDEX(votes,SMALL(IF(DColumn=District,ROW(DColumn)),ROW(Sheet2!94:94)),4))</f>
        <v/>
      </c>
      <c r="E109" s="19">
        <f t="shared" si="3"/>
        <v>0</v>
      </c>
      <c r="F109">
        <v>0</v>
      </c>
    </row>
    <row r="110" spans="2:6" x14ac:dyDescent="0.3">
      <c r="B110" s="3" t="str">
        <f t="array" ref="B110">IF(ISERROR(INDEX(votes,SMALL(IF(DColumn=District,ROW(DColumn)),ROW(Sheet2!95:95)),2)),"",INDEX(votes,SMALL(IF(DColumn=District,ROW(DColumn)),ROW(Sheet2!95:95)),2))</f>
        <v/>
      </c>
      <c r="C110" s="3" t="str">
        <f t="array" ref="C110">IF(ISERROR(INDEX(votes,SMALL(IF(DColumn=District,ROW(DColumn)),ROW(Sheet2!95:95)),3)),"",INDEX(votes,SMALL(IF(DColumn=District,ROW(DColumn)),ROW(Sheet2!95:95)),3))</f>
        <v/>
      </c>
      <c r="D110" s="4" t="str">
        <f t="array" ref="D110">IF(ISERROR(INDEX(votes,SMALL(IF(DColumn=District,ROW(DColumn)),ROW(Sheet2!95:95)),4)),"",INDEX(votes,SMALL(IF(DColumn=District,ROW(DColumn)),ROW(Sheet2!95:95)),4))</f>
        <v/>
      </c>
      <c r="E110" s="19">
        <f t="shared" si="3"/>
        <v>0</v>
      </c>
      <c r="F110">
        <v>0</v>
      </c>
    </row>
    <row r="111" spans="2:6" x14ac:dyDescent="0.3">
      <c r="B111" s="3" t="str">
        <f t="array" ref="B111">IF(ISERROR(INDEX(votes,SMALL(IF(DColumn=District,ROW(DColumn)),ROW(Sheet2!96:96)),2)),"",INDEX(votes,SMALL(IF(DColumn=District,ROW(DColumn)),ROW(Sheet2!96:96)),2))</f>
        <v/>
      </c>
      <c r="C111" s="3" t="str">
        <f t="array" ref="C111">IF(ISERROR(INDEX(votes,SMALL(IF(DColumn=District,ROW(DColumn)),ROW(Sheet2!96:96)),3)),"",INDEX(votes,SMALL(IF(DColumn=District,ROW(DColumn)),ROW(Sheet2!96:96)),3))</f>
        <v/>
      </c>
      <c r="D111" s="4" t="str">
        <f t="array" ref="D111">IF(ISERROR(INDEX(votes,SMALL(IF(DColumn=District,ROW(DColumn)),ROW(Sheet2!96:96)),4)),"",INDEX(votes,SMALL(IF(DColumn=District,ROW(DColumn)),ROW(Sheet2!96:96)),4))</f>
        <v/>
      </c>
      <c r="E111" s="19">
        <f t="shared" si="3"/>
        <v>0</v>
      </c>
      <c r="F111">
        <v>0</v>
      </c>
    </row>
    <row r="112" spans="2:6" x14ac:dyDescent="0.3">
      <c r="B112" s="3" t="str">
        <f t="array" ref="B112">IF(ISERROR(INDEX(votes,SMALL(IF(DColumn=District,ROW(DColumn)),ROW(Sheet2!97:97)),2)),"",INDEX(votes,SMALL(IF(DColumn=District,ROW(DColumn)),ROW(Sheet2!97:97)),2))</f>
        <v/>
      </c>
      <c r="C112" s="3" t="str">
        <f t="array" ref="C112">IF(ISERROR(INDEX(votes,SMALL(IF(DColumn=District,ROW(DColumn)),ROW(Sheet2!97:97)),3)),"",INDEX(votes,SMALL(IF(DColumn=District,ROW(DColumn)),ROW(Sheet2!97:97)),3))</f>
        <v/>
      </c>
      <c r="D112" s="4" t="str">
        <f t="array" ref="D112">IF(ISERROR(INDEX(votes,SMALL(IF(DColumn=District,ROW(DColumn)),ROW(Sheet2!97:97)),4)),"",INDEX(votes,SMALL(IF(DColumn=District,ROW(DColumn)),ROW(Sheet2!97:97)),4))</f>
        <v/>
      </c>
      <c r="E112" s="19">
        <f t="shared" si="3"/>
        <v>0</v>
      </c>
      <c r="F112">
        <v>0</v>
      </c>
    </row>
    <row r="113" spans="2:6" x14ac:dyDescent="0.3">
      <c r="B113" s="3" t="str">
        <f t="array" ref="B113">IF(ISERROR(INDEX(votes,SMALL(IF(DColumn=District,ROW(DColumn)),ROW(Sheet2!98:98)),2)),"",INDEX(votes,SMALL(IF(DColumn=District,ROW(DColumn)),ROW(Sheet2!98:98)),2))</f>
        <v/>
      </c>
      <c r="C113" s="3" t="str">
        <f t="array" ref="C113">IF(ISERROR(INDEX(votes,SMALL(IF(DColumn=District,ROW(DColumn)),ROW(Sheet2!98:98)),3)),"",INDEX(votes,SMALL(IF(DColumn=District,ROW(DColumn)),ROW(Sheet2!98:98)),3))</f>
        <v/>
      </c>
      <c r="D113" s="4" t="str">
        <f t="array" ref="D113">IF(ISERROR(INDEX(votes,SMALL(IF(DColumn=District,ROW(DColumn)),ROW(Sheet2!98:98)),4)),"",INDEX(votes,SMALL(IF(DColumn=District,ROW(DColumn)),ROW(Sheet2!98:98)),4))</f>
        <v/>
      </c>
      <c r="E113" s="19">
        <f t="shared" si="3"/>
        <v>0</v>
      </c>
      <c r="F113">
        <v>0</v>
      </c>
    </row>
    <row r="114" spans="2:6" x14ac:dyDescent="0.3">
      <c r="B114" s="3" t="str">
        <f t="array" ref="B114">IF(ISERROR(INDEX(votes,SMALL(IF(DColumn=District,ROW(DColumn)),ROW(Sheet2!99:99)),2)),"",INDEX(votes,SMALL(IF(DColumn=District,ROW(DColumn)),ROW(Sheet2!99:99)),2))</f>
        <v/>
      </c>
      <c r="C114" s="3" t="str">
        <f t="array" ref="C114">IF(ISERROR(INDEX(votes,SMALL(IF(DColumn=District,ROW(DColumn)),ROW(Sheet2!99:99)),3)),"",INDEX(votes,SMALL(IF(DColumn=District,ROW(DColumn)),ROW(Sheet2!99:99)),3))</f>
        <v/>
      </c>
      <c r="D114" s="4" t="str">
        <f t="array" ref="D114">IF(ISERROR(INDEX(votes,SMALL(IF(DColumn=District,ROW(DColumn)),ROW(Sheet2!99:99)),4)),"",INDEX(votes,SMALL(IF(DColumn=District,ROW(DColumn)),ROW(Sheet2!99:99)),4))</f>
        <v/>
      </c>
      <c r="E114" s="19">
        <f t="shared" si="3"/>
        <v>0</v>
      </c>
      <c r="F114">
        <v>0</v>
      </c>
    </row>
    <row r="115" spans="2:6" x14ac:dyDescent="0.3">
      <c r="B115" s="3" t="str">
        <f t="array" ref="B115">IF(ISERROR(INDEX(votes,SMALL(IF(DColumn=District,ROW(DColumn)),ROW(Sheet2!100:100)),2)),"",INDEX(votes,SMALL(IF(DColumn=District,ROW(DColumn)),ROW(Sheet2!100:100)),2))</f>
        <v/>
      </c>
      <c r="C115" s="3" t="str">
        <f t="array" ref="C115">IF(ISERROR(INDEX(votes,SMALL(IF(DColumn=District,ROW(DColumn)),ROW(Sheet2!100:100)),3)),"",INDEX(votes,SMALL(IF(DColumn=District,ROW(DColumn)),ROW(Sheet2!100:100)),3))</f>
        <v/>
      </c>
      <c r="D115" s="4" t="str">
        <f t="array" ref="D115">IF(ISERROR(INDEX(votes,SMALL(IF(DColumn=District,ROW(DColumn)),ROW(Sheet2!100:100)),4)),"",INDEX(votes,SMALL(IF(DColumn=District,ROW(DColumn)),ROW(Sheet2!100:100)),4))</f>
        <v/>
      </c>
      <c r="E115" s="19">
        <f t="shared" si="3"/>
        <v>0</v>
      </c>
      <c r="F115">
        <v>0</v>
      </c>
    </row>
    <row r="116" spans="2:6" x14ac:dyDescent="0.3">
      <c r="B116" s="3" t="str">
        <f t="array" ref="B116">IF(ISERROR(INDEX(votes,SMALL(IF(DColumn=District,ROW(DColumn)),ROW(Sheet2!101:101)),2)),"",INDEX(votes,SMALL(IF(DColumn=District,ROW(DColumn)),ROW(Sheet2!101:101)),2))</f>
        <v/>
      </c>
      <c r="C116" s="3" t="str">
        <f t="array" ref="C116">IF(ISERROR(INDEX(votes,SMALL(IF(DColumn=District,ROW(DColumn)),ROW(Sheet2!101:101)),3)),"",INDEX(votes,SMALL(IF(DColumn=District,ROW(DColumn)),ROW(Sheet2!101:101)),3))</f>
        <v/>
      </c>
      <c r="D116" s="4" t="str">
        <f t="array" ref="D116">IF(ISERROR(INDEX(votes,SMALL(IF(DColumn=District,ROW(DColumn)),ROW(Sheet2!101:101)),4)),"",INDEX(votes,SMALL(IF(DColumn=District,ROW(DColumn)),ROW(Sheet2!101:101)),4))</f>
        <v/>
      </c>
      <c r="E116" s="19">
        <f t="shared" si="3"/>
        <v>0</v>
      </c>
      <c r="F116">
        <v>0</v>
      </c>
    </row>
    <row r="117" spans="2:6" x14ac:dyDescent="0.3">
      <c r="B117" s="3" t="str">
        <f t="array" ref="B117">IF(ISERROR(INDEX(votes,SMALL(IF(DColumn=District,ROW(DColumn)),ROW(Sheet2!102:102)),2)),"",INDEX(votes,SMALL(IF(DColumn=District,ROW(DColumn)),ROW(Sheet2!102:102)),2))</f>
        <v/>
      </c>
      <c r="C117" s="3" t="str">
        <f t="array" ref="C117">IF(ISERROR(INDEX(votes,SMALL(IF(DColumn=District,ROW(DColumn)),ROW(Sheet2!102:102)),3)),"",INDEX(votes,SMALL(IF(DColumn=District,ROW(DColumn)),ROW(Sheet2!102:102)),3))</f>
        <v/>
      </c>
      <c r="D117" s="4" t="str">
        <f t="array" ref="D117">IF(ISERROR(INDEX(votes,SMALL(IF(DColumn=District,ROW(DColumn)),ROW(Sheet2!102:102)),4)),"",INDEX(votes,SMALL(IF(DColumn=District,ROW(DColumn)),ROW(Sheet2!102:102)),4))</f>
        <v/>
      </c>
      <c r="E117" s="19">
        <f t="shared" si="3"/>
        <v>0</v>
      </c>
      <c r="F117">
        <v>0</v>
      </c>
    </row>
    <row r="118" spans="2:6" x14ac:dyDescent="0.3">
      <c r="B118" s="3" t="str">
        <f t="array" ref="B118">IF(ISERROR(INDEX(votes,SMALL(IF(DColumn=District,ROW(DColumn)),ROW(Sheet2!103:103)),2)),"",INDEX(votes,SMALL(IF(DColumn=District,ROW(DColumn)),ROW(Sheet2!103:103)),2))</f>
        <v/>
      </c>
      <c r="C118" s="3" t="str">
        <f t="array" ref="C118">IF(ISERROR(INDEX(votes,SMALL(IF(DColumn=District,ROW(DColumn)),ROW(Sheet2!103:103)),3)),"",INDEX(votes,SMALL(IF(DColumn=District,ROW(DColumn)),ROW(Sheet2!103:103)),3))</f>
        <v/>
      </c>
      <c r="D118" s="4" t="str">
        <f t="array" ref="D118">IF(ISERROR(INDEX(votes,SMALL(IF(DColumn=District,ROW(DColumn)),ROW(Sheet2!103:103)),4)),"",INDEX(votes,SMALL(IF(DColumn=District,ROW(DColumn)),ROW(Sheet2!103:103)),4))</f>
        <v/>
      </c>
      <c r="E118" s="19">
        <f t="shared" si="3"/>
        <v>0</v>
      </c>
      <c r="F118">
        <v>0</v>
      </c>
    </row>
    <row r="119" spans="2:6" x14ac:dyDescent="0.3">
      <c r="B119" s="3" t="str">
        <f t="array" ref="B119">IF(ISERROR(INDEX(votes,SMALL(IF(DColumn=District,ROW(DColumn)),ROW(Sheet2!104:104)),2)),"",INDEX(votes,SMALL(IF(DColumn=District,ROW(DColumn)),ROW(Sheet2!104:104)),2))</f>
        <v/>
      </c>
      <c r="C119" s="3" t="str">
        <f t="array" ref="C119">IF(ISERROR(INDEX(votes,SMALL(IF(DColumn=District,ROW(DColumn)),ROW(Sheet2!104:104)),3)),"",INDEX(votes,SMALL(IF(DColumn=District,ROW(DColumn)),ROW(Sheet2!104:104)),3))</f>
        <v/>
      </c>
      <c r="D119" s="4" t="str">
        <f t="array" ref="D119">IF(ISERROR(INDEX(votes,SMALL(IF(DColumn=District,ROW(DColumn)),ROW(Sheet2!104:104)),4)),"",INDEX(votes,SMALL(IF(DColumn=District,ROW(DColumn)),ROW(Sheet2!104:104)),4))</f>
        <v/>
      </c>
      <c r="E119" s="19">
        <f t="shared" si="3"/>
        <v>0</v>
      </c>
      <c r="F119">
        <v>0</v>
      </c>
    </row>
    <row r="120" spans="2:6" x14ac:dyDescent="0.3">
      <c r="B120" s="3" t="str">
        <f t="array" ref="B120">IF(ISERROR(INDEX(votes,SMALL(IF(DColumn=District,ROW(DColumn)),ROW(Sheet2!105:105)),2)),"",INDEX(votes,SMALL(IF(DColumn=District,ROW(DColumn)),ROW(Sheet2!105:105)),2))</f>
        <v/>
      </c>
      <c r="C120" s="3" t="str">
        <f t="array" ref="C120">IF(ISERROR(INDEX(votes,SMALL(IF(DColumn=District,ROW(DColumn)),ROW(Sheet2!105:105)),3)),"",INDEX(votes,SMALL(IF(DColumn=District,ROW(DColumn)),ROW(Sheet2!105:105)),3))</f>
        <v/>
      </c>
      <c r="D120" s="4" t="str">
        <f t="array" ref="D120">IF(ISERROR(INDEX(votes,SMALL(IF(DColumn=District,ROW(DColumn)),ROW(Sheet2!105:105)),4)),"",INDEX(votes,SMALL(IF(DColumn=District,ROW(DColumn)),ROW(Sheet2!105:105)),4))</f>
        <v/>
      </c>
      <c r="E120" s="19">
        <f t="shared" si="3"/>
        <v>0</v>
      </c>
      <c r="F120">
        <v>0</v>
      </c>
    </row>
    <row r="121" spans="2:6" x14ac:dyDescent="0.3">
      <c r="B121" s="3" t="str">
        <f t="array" ref="B121">IF(ISERROR(INDEX(votes,SMALL(IF(DColumn=District,ROW(DColumn)),ROW(Sheet2!106:106)),2)),"",INDEX(votes,SMALL(IF(DColumn=District,ROW(DColumn)),ROW(Sheet2!106:106)),2))</f>
        <v/>
      </c>
      <c r="C121" s="3" t="str">
        <f t="array" ref="C121">IF(ISERROR(INDEX(votes,SMALL(IF(DColumn=District,ROW(DColumn)),ROW(Sheet2!106:106)),3)),"",INDEX(votes,SMALL(IF(DColumn=District,ROW(DColumn)),ROW(Sheet2!106:106)),3))</f>
        <v/>
      </c>
      <c r="D121" s="4" t="str">
        <f t="array" ref="D121">IF(ISERROR(INDEX(votes,SMALL(IF(DColumn=District,ROW(DColumn)),ROW(Sheet2!106:106)),4)),"",INDEX(votes,SMALL(IF(DColumn=District,ROW(DColumn)),ROW(Sheet2!106:106)),4))</f>
        <v/>
      </c>
      <c r="E121" s="19">
        <f t="shared" si="3"/>
        <v>0</v>
      </c>
      <c r="F121">
        <v>0</v>
      </c>
    </row>
    <row r="122" spans="2:6" x14ac:dyDescent="0.3">
      <c r="B122" s="3" t="str">
        <f t="array" ref="B122">IF(ISERROR(INDEX(votes,SMALL(IF(DColumn=District,ROW(DColumn)),ROW(Sheet2!107:107)),2)),"",INDEX(votes,SMALL(IF(DColumn=District,ROW(DColumn)),ROW(Sheet2!107:107)),2))</f>
        <v/>
      </c>
      <c r="C122" s="3" t="str">
        <f t="array" ref="C122">IF(ISERROR(INDEX(votes,SMALL(IF(DColumn=District,ROW(DColumn)),ROW(Sheet2!107:107)),3)),"",INDEX(votes,SMALL(IF(DColumn=District,ROW(DColumn)),ROW(Sheet2!107:107)),3))</f>
        <v/>
      </c>
      <c r="D122" s="4" t="str">
        <f t="array" ref="D122">IF(ISERROR(INDEX(votes,SMALL(IF(DColumn=District,ROW(DColumn)),ROW(Sheet2!107:107)),4)),"",INDEX(votes,SMALL(IF(DColumn=District,ROW(DColumn)),ROW(Sheet2!107:107)),4))</f>
        <v/>
      </c>
      <c r="E122" s="19">
        <f t="shared" si="3"/>
        <v>0</v>
      </c>
      <c r="F122">
        <v>0</v>
      </c>
    </row>
    <row r="123" spans="2:6" x14ac:dyDescent="0.3">
      <c r="B123" s="3" t="str">
        <f t="array" ref="B123">IF(ISERROR(INDEX(votes,SMALL(IF(DColumn=District,ROW(DColumn)),ROW(Sheet2!108:108)),2)),"",INDEX(votes,SMALL(IF(DColumn=District,ROW(DColumn)),ROW(Sheet2!108:108)),2))</f>
        <v/>
      </c>
      <c r="C123" s="3" t="str">
        <f t="array" ref="C123">IF(ISERROR(INDEX(votes,SMALL(IF(DColumn=District,ROW(DColumn)),ROW(Sheet2!108:108)),3)),"",INDEX(votes,SMALL(IF(DColumn=District,ROW(DColumn)),ROW(Sheet2!108:108)),3))</f>
        <v/>
      </c>
      <c r="D123" s="4" t="str">
        <f t="array" ref="D123">IF(ISERROR(INDEX(votes,SMALL(IF(DColumn=District,ROW(DColumn)),ROW(Sheet2!108:108)),4)),"",INDEX(votes,SMALL(IF(DColumn=District,ROW(DColumn)),ROW(Sheet2!108:108)),4))</f>
        <v/>
      </c>
      <c r="E123" s="19">
        <f t="shared" si="3"/>
        <v>0</v>
      </c>
      <c r="F123">
        <v>0</v>
      </c>
    </row>
    <row r="124" spans="2:6" x14ac:dyDescent="0.3">
      <c r="B124" s="3" t="str">
        <f t="array" ref="B124">IF(ISERROR(INDEX(votes,SMALL(IF(DColumn=District,ROW(DColumn)),ROW(Sheet2!109:109)),2)),"",INDEX(votes,SMALL(IF(DColumn=District,ROW(DColumn)),ROW(Sheet2!109:109)),2))</f>
        <v/>
      </c>
      <c r="C124" s="3" t="str">
        <f t="array" ref="C124">IF(ISERROR(INDEX(votes,SMALL(IF(DColumn=District,ROW(DColumn)),ROW(Sheet2!109:109)),3)),"",INDEX(votes,SMALL(IF(DColumn=District,ROW(DColumn)),ROW(Sheet2!109:109)),3))</f>
        <v/>
      </c>
      <c r="D124" s="4" t="str">
        <f t="array" ref="D124">IF(ISERROR(INDEX(votes,SMALL(IF(DColumn=District,ROW(DColumn)),ROW(Sheet2!109:109)),4)),"",INDEX(votes,SMALL(IF(DColumn=District,ROW(DColumn)),ROW(Sheet2!109:109)),4))</f>
        <v/>
      </c>
      <c r="E124" s="19">
        <f t="shared" si="3"/>
        <v>0</v>
      </c>
      <c r="F124">
        <v>0</v>
      </c>
    </row>
    <row r="125" spans="2:6" x14ac:dyDescent="0.3">
      <c r="B125" s="3" t="str">
        <f t="array" ref="B125">IF(ISERROR(INDEX(votes,SMALL(IF(DColumn=District,ROW(DColumn)),ROW(Sheet2!110:110)),2)),"",INDEX(votes,SMALL(IF(DColumn=District,ROW(DColumn)),ROW(Sheet2!110:110)),2))</f>
        <v/>
      </c>
      <c r="C125" s="3" t="str">
        <f t="array" ref="C125">IF(ISERROR(INDEX(votes,SMALL(IF(DColumn=District,ROW(DColumn)),ROW(Sheet2!110:110)),3)),"",INDEX(votes,SMALL(IF(DColumn=District,ROW(DColumn)),ROW(Sheet2!110:110)),3))</f>
        <v/>
      </c>
      <c r="D125" s="4" t="str">
        <f t="array" ref="D125">IF(ISERROR(INDEX(votes,SMALL(IF(DColumn=District,ROW(DColumn)),ROW(Sheet2!110:110)),4)),"",INDEX(votes,SMALL(IF(DColumn=District,ROW(DColumn)),ROW(Sheet2!110:110)),4))</f>
        <v/>
      </c>
      <c r="E125" s="19">
        <f t="shared" si="3"/>
        <v>0</v>
      </c>
      <c r="F125">
        <v>0</v>
      </c>
    </row>
    <row r="126" spans="2:6" x14ac:dyDescent="0.3">
      <c r="B126" s="3" t="str">
        <f t="array" ref="B126">IF(ISERROR(INDEX(votes,SMALL(IF(DColumn=District,ROW(DColumn)),ROW(Sheet2!111:111)),2)),"",INDEX(votes,SMALL(IF(DColumn=District,ROW(DColumn)),ROW(Sheet2!111:111)),2))</f>
        <v/>
      </c>
      <c r="C126" s="3" t="str">
        <f t="array" ref="C126">IF(ISERROR(INDEX(votes,SMALL(IF(DColumn=District,ROW(DColumn)),ROW(Sheet2!111:111)),3)),"",INDEX(votes,SMALL(IF(DColumn=District,ROW(DColumn)),ROW(Sheet2!111:111)),3))</f>
        <v/>
      </c>
      <c r="D126" s="4" t="str">
        <f t="array" ref="D126">IF(ISERROR(INDEX(votes,SMALL(IF(DColumn=District,ROW(DColumn)),ROW(Sheet2!111:111)),4)),"",INDEX(votes,SMALL(IF(DColumn=District,ROW(DColumn)),ROW(Sheet2!111:111)),4))</f>
        <v/>
      </c>
      <c r="E126" s="19">
        <f t="shared" si="3"/>
        <v>0</v>
      </c>
      <c r="F126">
        <v>0</v>
      </c>
    </row>
    <row r="127" spans="2:6" x14ac:dyDescent="0.3">
      <c r="B127" s="3" t="str">
        <f t="array" ref="B127">IF(ISERROR(INDEX(votes,SMALL(IF(DColumn=District,ROW(DColumn)),ROW(Sheet2!112:112)),2)),"",INDEX(votes,SMALL(IF(DColumn=District,ROW(DColumn)),ROW(Sheet2!112:112)),2))</f>
        <v/>
      </c>
      <c r="C127" s="3" t="str">
        <f t="array" ref="C127">IF(ISERROR(INDEX(votes,SMALL(IF(DColumn=District,ROW(DColumn)),ROW(Sheet2!112:112)),3)),"",INDEX(votes,SMALL(IF(DColumn=District,ROW(DColumn)),ROW(Sheet2!112:112)),3))</f>
        <v/>
      </c>
      <c r="D127" s="4" t="str">
        <f t="array" ref="D127">IF(ISERROR(INDEX(votes,SMALL(IF(DColumn=District,ROW(DColumn)),ROW(Sheet2!112:112)),4)),"",INDEX(votes,SMALL(IF(DColumn=District,ROW(DColumn)),ROW(Sheet2!112:112)),4))</f>
        <v/>
      </c>
      <c r="E127" s="19">
        <f t="shared" si="3"/>
        <v>0</v>
      </c>
      <c r="F127">
        <v>0</v>
      </c>
    </row>
    <row r="128" spans="2:6" x14ac:dyDescent="0.3">
      <c r="B128" s="3" t="str">
        <f t="array" ref="B128">IF(ISERROR(INDEX(votes,SMALL(IF(DColumn=District,ROW(DColumn)),ROW(Sheet2!113:113)),2)),"",INDEX(votes,SMALL(IF(DColumn=District,ROW(DColumn)),ROW(Sheet2!113:113)),2))</f>
        <v/>
      </c>
      <c r="C128" s="3" t="str">
        <f t="array" ref="C128">IF(ISERROR(INDEX(votes,SMALL(IF(DColumn=District,ROW(DColumn)),ROW(Sheet2!113:113)),3)),"",INDEX(votes,SMALL(IF(DColumn=District,ROW(DColumn)),ROW(Sheet2!113:113)),3))</f>
        <v/>
      </c>
      <c r="D128" s="4" t="str">
        <f t="array" ref="D128">IF(ISERROR(INDEX(votes,SMALL(IF(DColumn=District,ROW(DColumn)),ROW(Sheet2!113:113)),4)),"",INDEX(votes,SMALL(IF(DColumn=District,ROW(DColumn)),ROW(Sheet2!113:113)),4))</f>
        <v/>
      </c>
      <c r="E128" s="19">
        <f t="shared" si="3"/>
        <v>0</v>
      </c>
      <c r="F128">
        <v>0</v>
      </c>
    </row>
    <row r="129" spans="2:6" x14ac:dyDescent="0.3">
      <c r="B129" s="3" t="str">
        <f t="array" ref="B129">IF(ISERROR(INDEX(votes,SMALL(IF(DColumn=District,ROW(DColumn)),ROW(Sheet2!114:114)),2)),"",INDEX(votes,SMALL(IF(DColumn=District,ROW(DColumn)),ROW(Sheet2!114:114)),2))</f>
        <v/>
      </c>
      <c r="C129" s="3" t="str">
        <f t="array" ref="C129">IF(ISERROR(INDEX(votes,SMALL(IF(DColumn=District,ROW(DColumn)),ROW(Sheet2!114:114)),3)),"",INDEX(votes,SMALL(IF(DColumn=District,ROW(DColumn)),ROW(Sheet2!114:114)),3))</f>
        <v/>
      </c>
      <c r="D129" s="4" t="str">
        <f t="array" ref="D129">IF(ISERROR(INDEX(votes,SMALL(IF(DColumn=District,ROW(DColumn)),ROW(Sheet2!114:114)),4)),"",INDEX(votes,SMALL(IF(DColumn=District,ROW(DColumn)),ROW(Sheet2!114:114)),4))</f>
        <v/>
      </c>
      <c r="E129" s="19">
        <f t="shared" si="3"/>
        <v>0</v>
      </c>
      <c r="F129">
        <v>0</v>
      </c>
    </row>
    <row r="130" spans="2:6" x14ac:dyDescent="0.3">
      <c r="B130" s="3" t="str">
        <f t="array" ref="B130">IF(ISERROR(INDEX(votes,SMALL(IF(DColumn=District,ROW(DColumn)),ROW(Sheet2!115:115)),2)),"",INDEX(votes,SMALL(IF(DColumn=District,ROW(DColumn)),ROW(Sheet2!115:115)),2))</f>
        <v/>
      </c>
      <c r="C130" s="3" t="str">
        <f t="array" ref="C130">IF(ISERROR(INDEX(votes,SMALL(IF(DColumn=District,ROW(DColumn)),ROW(Sheet2!115:115)),3)),"",INDEX(votes,SMALL(IF(DColumn=District,ROW(DColumn)),ROW(Sheet2!115:115)),3))</f>
        <v/>
      </c>
      <c r="D130" s="4" t="str">
        <f t="array" ref="D130">IF(ISERROR(INDEX(votes,SMALL(IF(DColumn=District,ROW(DColumn)),ROW(Sheet2!115:115)),4)),"",INDEX(votes,SMALL(IF(DColumn=District,ROW(DColumn)),ROW(Sheet2!115:115)),4))</f>
        <v/>
      </c>
      <c r="E130" s="19">
        <f t="shared" si="3"/>
        <v>0</v>
      </c>
      <c r="F130">
        <v>0</v>
      </c>
    </row>
    <row r="131" spans="2:6" x14ac:dyDescent="0.3">
      <c r="B131" s="3" t="str">
        <f t="array" ref="B131">IF(ISERROR(INDEX(votes,SMALL(IF(DColumn=District,ROW(DColumn)),ROW(Sheet2!116:116)),2)),"",INDEX(votes,SMALL(IF(DColumn=District,ROW(DColumn)),ROW(Sheet2!116:116)),2))</f>
        <v/>
      </c>
      <c r="C131" s="3" t="str">
        <f t="array" ref="C131">IF(ISERROR(INDEX(votes,SMALL(IF(DColumn=District,ROW(DColumn)),ROW(Sheet2!116:116)),3)),"",INDEX(votes,SMALL(IF(DColumn=District,ROW(DColumn)),ROW(Sheet2!116:116)),3))</f>
        <v/>
      </c>
      <c r="D131" s="4" t="str">
        <f t="array" ref="D131">IF(ISERROR(INDEX(votes,SMALL(IF(DColumn=District,ROW(DColumn)),ROW(Sheet2!116:116)),4)),"",INDEX(votes,SMALL(IF(DColumn=District,ROW(DColumn)),ROW(Sheet2!116:116)),4))</f>
        <v/>
      </c>
      <c r="E131" s="19">
        <f t="shared" si="3"/>
        <v>0</v>
      </c>
      <c r="F131">
        <v>0</v>
      </c>
    </row>
    <row r="132" spans="2:6" x14ac:dyDescent="0.3">
      <c r="B132" s="3" t="str">
        <f t="array" ref="B132">IF(ISERROR(INDEX(votes,SMALL(IF(DColumn=District,ROW(DColumn)),ROW(Sheet2!117:117)),2)),"",INDEX(votes,SMALL(IF(DColumn=District,ROW(DColumn)),ROW(Sheet2!117:117)),2))</f>
        <v/>
      </c>
      <c r="C132" s="3" t="str">
        <f t="array" ref="C132">IF(ISERROR(INDEX(votes,SMALL(IF(DColumn=District,ROW(DColumn)),ROW(Sheet2!117:117)),3)),"",INDEX(votes,SMALL(IF(DColumn=District,ROW(DColumn)),ROW(Sheet2!117:117)),3))</f>
        <v/>
      </c>
      <c r="D132" s="4" t="str">
        <f t="array" ref="D132">IF(ISERROR(INDEX(votes,SMALL(IF(DColumn=District,ROW(DColumn)),ROW(Sheet2!117:117)),4)),"",INDEX(votes,SMALL(IF(DColumn=District,ROW(DColumn)),ROW(Sheet2!117:117)),4))</f>
        <v/>
      </c>
      <c r="E132" s="19">
        <f t="shared" si="3"/>
        <v>0</v>
      </c>
      <c r="F132">
        <v>0</v>
      </c>
    </row>
    <row r="133" spans="2:6" x14ac:dyDescent="0.3">
      <c r="B133" s="3" t="str">
        <f t="array" ref="B133">IF(ISERROR(INDEX(votes,SMALL(IF(DColumn=District,ROW(DColumn)),ROW(Sheet2!118:118)),2)),"",INDEX(votes,SMALL(IF(DColumn=District,ROW(DColumn)),ROW(Sheet2!118:118)),2))</f>
        <v/>
      </c>
      <c r="C133" s="3" t="str">
        <f t="array" ref="C133">IF(ISERROR(INDEX(votes,SMALL(IF(DColumn=District,ROW(DColumn)),ROW(Sheet2!118:118)),3)),"",INDEX(votes,SMALL(IF(DColumn=District,ROW(DColumn)),ROW(Sheet2!118:118)),3))</f>
        <v/>
      </c>
      <c r="D133" s="4" t="str">
        <f t="array" ref="D133">IF(ISERROR(INDEX(votes,SMALL(IF(DColumn=District,ROW(DColumn)),ROW(Sheet2!118:118)),4)),"",INDEX(votes,SMALL(IF(DColumn=District,ROW(DColumn)),ROW(Sheet2!118:118)),4))</f>
        <v/>
      </c>
      <c r="E133" s="19">
        <f t="shared" si="3"/>
        <v>0</v>
      </c>
      <c r="F133">
        <v>0</v>
      </c>
    </row>
    <row r="134" spans="2:6" x14ac:dyDescent="0.3">
      <c r="B134" s="3" t="str">
        <f t="array" ref="B134">IF(ISERROR(INDEX(votes,SMALL(IF(DColumn=District,ROW(DColumn)),ROW(Sheet2!119:119)),2)),"",INDEX(votes,SMALL(IF(DColumn=District,ROW(DColumn)),ROW(Sheet2!119:119)),2))</f>
        <v/>
      </c>
      <c r="C134" s="3" t="str">
        <f t="array" ref="C134">IF(ISERROR(INDEX(votes,SMALL(IF(DColumn=District,ROW(DColumn)),ROW(Sheet2!119:119)),3)),"",INDEX(votes,SMALL(IF(DColumn=District,ROW(DColumn)),ROW(Sheet2!119:119)),3))</f>
        <v/>
      </c>
      <c r="D134" s="4" t="str">
        <f t="array" ref="D134">IF(ISERROR(INDEX(votes,SMALL(IF(DColumn=District,ROW(DColumn)),ROW(Sheet2!119:119)),4)),"",INDEX(votes,SMALL(IF(DColumn=District,ROW(DColumn)),ROW(Sheet2!119:119)),4))</f>
        <v/>
      </c>
      <c r="E134" s="19">
        <f t="shared" si="3"/>
        <v>0</v>
      </c>
      <c r="F134">
        <v>0</v>
      </c>
    </row>
    <row r="135" spans="2:6" x14ac:dyDescent="0.3">
      <c r="B135" s="3" t="str">
        <f t="array" ref="B135">IF(ISERROR(INDEX(votes,SMALL(IF(DColumn=District,ROW(DColumn)),ROW(Sheet2!120:120)),2)),"",INDEX(votes,SMALL(IF(DColumn=District,ROW(DColumn)),ROW(Sheet2!120:120)),2))</f>
        <v/>
      </c>
      <c r="C135" s="3" t="str">
        <f t="array" ref="C135">IF(ISERROR(INDEX(votes,SMALL(IF(DColumn=District,ROW(DColumn)),ROW(Sheet2!120:120)),3)),"",INDEX(votes,SMALL(IF(DColumn=District,ROW(DColumn)),ROW(Sheet2!120:120)),3))</f>
        <v/>
      </c>
      <c r="D135" s="4" t="str">
        <f t="array" ref="D135">IF(ISERROR(INDEX(votes,SMALL(IF(DColumn=District,ROW(DColumn)),ROW(Sheet2!120:120)),4)),"",INDEX(votes,SMALL(IF(DColumn=District,ROW(DColumn)),ROW(Sheet2!120:120)),4))</f>
        <v/>
      </c>
      <c r="E135" s="19">
        <f t="shared" si="3"/>
        <v>0</v>
      </c>
      <c r="F135">
        <v>0</v>
      </c>
    </row>
    <row r="136" spans="2:6" x14ac:dyDescent="0.3">
      <c r="B136" s="3" t="str">
        <f t="array" ref="B136">IF(ISERROR(INDEX(votes,SMALL(IF(DColumn=District,ROW(DColumn)),ROW(Sheet2!121:121)),2)),"",INDEX(votes,SMALL(IF(DColumn=District,ROW(DColumn)),ROW(Sheet2!121:121)),2))</f>
        <v/>
      </c>
      <c r="C136" s="3" t="str">
        <f t="array" ref="C136">IF(ISERROR(INDEX(votes,SMALL(IF(DColumn=District,ROW(DColumn)),ROW(Sheet2!121:121)),3)),"",INDEX(votes,SMALL(IF(DColumn=District,ROW(DColumn)),ROW(Sheet2!121:121)),3))</f>
        <v/>
      </c>
      <c r="D136" s="4" t="str">
        <f t="array" ref="D136">IF(ISERROR(INDEX(votes,SMALL(IF(DColumn=District,ROW(DColumn)),ROW(Sheet2!121:121)),4)),"",INDEX(votes,SMALL(IF(DColumn=District,ROW(DColumn)),ROW(Sheet2!121:121)),4))</f>
        <v/>
      </c>
      <c r="E136" s="19">
        <f t="shared" si="3"/>
        <v>0</v>
      </c>
      <c r="F136">
        <v>0</v>
      </c>
    </row>
    <row r="137" spans="2:6" x14ac:dyDescent="0.3">
      <c r="B137" s="3" t="str">
        <f t="array" ref="B137">IF(ISERROR(INDEX(votes,SMALL(IF(DColumn=District,ROW(DColumn)),ROW(Sheet2!122:122)),2)),"",INDEX(votes,SMALL(IF(DColumn=District,ROW(DColumn)),ROW(Sheet2!122:122)),2))</f>
        <v/>
      </c>
      <c r="C137" s="3" t="str">
        <f t="array" ref="C137">IF(ISERROR(INDEX(votes,SMALL(IF(DColumn=District,ROW(DColumn)),ROW(Sheet2!122:122)),3)),"",INDEX(votes,SMALL(IF(DColumn=District,ROW(DColumn)),ROW(Sheet2!122:122)),3))</f>
        <v/>
      </c>
      <c r="D137" s="4" t="str">
        <f t="array" ref="D137">IF(ISERROR(INDEX(votes,SMALL(IF(DColumn=District,ROW(DColumn)),ROW(Sheet2!122:122)),4)),"",INDEX(votes,SMALL(IF(DColumn=District,ROW(DColumn)),ROW(Sheet2!122:122)),4))</f>
        <v/>
      </c>
      <c r="E137" s="19">
        <f t="shared" si="3"/>
        <v>0</v>
      </c>
      <c r="F137">
        <v>0</v>
      </c>
    </row>
    <row r="138" spans="2:6" x14ac:dyDescent="0.3">
      <c r="B138" s="3" t="str">
        <f t="array" ref="B138">IF(ISERROR(INDEX(votes,SMALL(IF(DColumn=District,ROW(DColumn)),ROW(Sheet2!123:123)),2)),"",INDEX(votes,SMALL(IF(DColumn=District,ROW(DColumn)),ROW(Sheet2!123:123)),2))</f>
        <v/>
      </c>
      <c r="C138" s="3" t="str">
        <f t="array" ref="C138">IF(ISERROR(INDEX(votes,SMALL(IF(DColumn=District,ROW(DColumn)),ROW(Sheet2!123:123)),3)),"",INDEX(votes,SMALL(IF(DColumn=District,ROW(DColumn)),ROW(Sheet2!123:123)),3))</f>
        <v/>
      </c>
      <c r="D138" s="4" t="str">
        <f t="array" ref="D138">IF(ISERROR(INDEX(votes,SMALL(IF(DColumn=District,ROW(DColumn)),ROW(Sheet2!123:123)),4)),"",INDEX(votes,SMALL(IF(DColumn=District,ROW(DColumn)),ROW(Sheet2!123:123)),4))</f>
        <v/>
      </c>
      <c r="E138" s="19">
        <f t="shared" si="3"/>
        <v>0</v>
      </c>
      <c r="F138">
        <v>0</v>
      </c>
    </row>
    <row r="139" spans="2:6" x14ac:dyDescent="0.3">
      <c r="B139" s="3" t="str">
        <f t="array" ref="B139">IF(ISERROR(INDEX(votes,SMALL(IF(DColumn=District,ROW(DColumn)),ROW(Sheet2!124:124)),2)),"",INDEX(votes,SMALL(IF(DColumn=District,ROW(DColumn)),ROW(Sheet2!124:124)),2))</f>
        <v/>
      </c>
      <c r="C139" s="3" t="str">
        <f t="array" ref="C139">IF(ISERROR(INDEX(votes,SMALL(IF(DColumn=District,ROW(DColumn)),ROW(Sheet2!124:124)),3)),"",INDEX(votes,SMALL(IF(DColumn=District,ROW(DColumn)),ROW(Sheet2!124:124)),3))</f>
        <v/>
      </c>
      <c r="D139" s="4" t="str">
        <f t="array" ref="D139">IF(ISERROR(INDEX(votes,SMALL(IF(DColumn=District,ROW(DColumn)),ROW(Sheet2!124:124)),4)),"",INDEX(votes,SMALL(IF(DColumn=District,ROW(DColumn)),ROW(Sheet2!124:124)),4))</f>
        <v/>
      </c>
      <c r="E139" s="19">
        <f t="shared" si="3"/>
        <v>0</v>
      </c>
      <c r="F139">
        <v>0</v>
      </c>
    </row>
    <row r="140" spans="2:6" x14ac:dyDescent="0.3">
      <c r="B140" s="3" t="str">
        <f t="array" ref="B140">IF(ISERROR(INDEX(votes,SMALL(IF(DColumn=District,ROW(DColumn)),ROW(Sheet2!125:125)),2)),"",INDEX(votes,SMALL(IF(DColumn=District,ROW(DColumn)),ROW(Sheet2!125:125)),2))</f>
        <v/>
      </c>
      <c r="C140" s="3" t="str">
        <f t="array" ref="C140">IF(ISERROR(INDEX(votes,SMALL(IF(DColumn=District,ROW(DColumn)),ROW(Sheet2!125:125)),3)),"",INDEX(votes,SMALL(IF(DColumn=District,ROW(DColumn)),ROW(Sheet2!125:125)),3))</f>
        <v/>
      </c>
      <c r="D140" s="4" t="str">
        <f t="array" ref="D140">IF(ISERROR(INDEX(votes,SMALL(IF(DColumn=District,ROW(DColumn)),ROW(Sheet2!125:125)),4)),"",INDEX(votes,SMALL(IF(DColumn=District,ROW(DColumn)),ROW(Sheet2!125:125)),4))</f>
        <v/>
      </c>
      <c r="E140" s="19">
        <f t="shared" si="3"/>
        <v>0</v>
      </c>
      <c r="F140">
        <v>0</v>
      </c>
    </row>
    <row r="141" spans="2:6" x14ac:dyDescent="0.3">
      <c r="B141" s="3" t="str">
        <f t="array" ref="B141">IF(ISERROR(INDEX(votes,SMALL(IF(DColumn=District,ROW(DColumn)),ROW(Sheet2!126:126)),2)),"",INDEX(votes,SMALL(IF(DColumn=District,ROW(DColumn)),ROW(Sheet2!126:126)),2))</f>
        <v/>
      </c>
      <c r="C141" s="3" t="str">
        <f t="array" ref="C141">IF(ISERROR(INDEX(votes,SMALL(IF(DColumn=District,ROW(DColumn)),ROW(Sheet2!126:126)),3)),"",INDEX(votes,SMALL(IF(DColumn=District,ROW(DColumn)),ROW(Sheet2!126:126)),3))</f>
        <v/>
      </c>
      <c r="D141" s="4" t="str">
        <f t="array" ref="D141">IF(ISERROR(INDEX(votes,SMALL(IF(DColumn=District,ROW(DColumn)),ROW(Sheet2!126:126)),4)),"",INDEX(votes,SMALL(IF(DColumn=District,ROW(DColumn)),ROW(Sheet2!126:126)),4))</f>
        <v/>
      </c>
      <c r="E141" s="19">
        <f t="shared" si="3"/>
        <v>0</v>
      </c>
      <c r="F141">
        <v>0</v>
      </c>
    </row>
    <row r="142" spans="2:6" x14ac:dyDescent="0.3">
      <c r="B142" s="3" t="str">
        <f t="array" ref="B142">IF(ISERROR(INDEX(votes,SMALL(IF(DColumn=District,ROW(DColumn)),ROW(Sheet2!127:127)),2)),"",INDEX(votes,SMALL(IF(DColumn=District,ROW(DColumn)),ROW(Sheet2!127:127)),2))</f>
        <v/>
      </c>
      <c r="C142" s="3" t="str">
        <f t="array" ref="C142">IF(ISERROR(INDEX(votes,SMALL(IF(DColumn=District,ROW(DColumn)),ROW(Sheet2!127:127)),3)),"",INDEX(votes,SMALL(IF(DColumn=District,ROW(DColumn)),ROW(Sheet2!127:127)),3))</f>
        <v/>
      </c>
      <c r="D142" s="4" t="str">
        <f t="array" ref="D142">IF(ISERROR(INDEX(votes,SMALL(IF(DColumn=District,ROW(DColumn)),ROW(Sheet2!127:127)),4)),"",INDEX(votes,SMALL(IF(DColumn=District,ROW(DColumn)),ROW(Sheet2!127:127)),4))</f>
        <v/>
      </c>
      <c r="E142" s="19">
        <f t="shared" si="3"/>
        <v>0</v>
      </c>
      <c r="F142">
        <v>0</v>
      </c>
    </row>
    <row r="143" spans="2:6" x14ac:dyDescent="0.3">
      <c r="B143" s="3" t="str">
        <f t="array" ref="B143">IF(ISERROR(INDEX(votes,SMALL(IF(DColumn=District,ROW(DColumn)),ROW(Sheet2!128:128)),2)),"",INDEX(votes,SMALL(IF(DColumn=District,ROW(DColumn)),ROW(Sheet2!128:128)),2))</f>
        <v/>
      </c>
      <c r="C143" s="3" t="str">
        <f t="array" ref="C143">IF(ISERROR(INDEX(votes,SMALL(IF(DColumn=District,ROW(DColumn)),ROW(Sheet2!128:128)),3)),"",INDEX(votes,SMALL(IF(DColumn=District,ROW(DColumn)),ROW(Sheet2!128:128)),3))</f>
        <v/>
      </c>
      <c r="D143" s="4" t="str">
        <f t="array" ref="D143">IF(ISERROR(INDEX(votes,SMALL(IF(DColumn=District,ROW(DColumn)),ROW(Sheet2!128:128)),4)),"",INDEX(votes,SMALL(IF(DColumn=District,ROW(DColumn)),ROW(Sheet2!128:128)),4))</f>
        <v/>
      </c>
      <c r="E143" s="19">
        <f t="shared" si="3"/>
        <v>0</v>
      </c>
      <c r="F143">
        <v>0</v>
      </c>
    </row>
    <row r="144" spans="2:6" x14ac:dyDescent="0.3">
      <c r="B144" s="3" t="str">
        <f t="array" ref="B144">IF(ISERROR(INDEX(votes,SMALL(IF(DColumn=District,ROW(DColumn)),ROW(Sheet2!129:129)),2)),"",INDEX(votes,SMALL(IF(DColumn=District,ROW(DColumn)),ROW(Sheet2!129:129)),2))</f>
        <v/>
      </c>
      <c r="C144" s="3" t="str">
        <f t="array" ref="C144">IF(ISERROR(INDEX(votes,SMALL(IF(DColumn=District,ROW(DColumn)),ROW(Sheet2!129:129)),3)),"",INDEX(votes,SMALL(IF(DColumn=District,ROW(DColumn)),ROW(Sheet2!129:129)),3))</f>
        <v/>
      </c>
      <c r="D144" s="4" t="str">
        <f t="array" ref="D144">IF(ISERROR(INDEX(votes,SMALL(IF(DColumn=District,ROW(DColumn)),ROW(Sheet2!129:129)),4)),"",INDEX(votes,SMALL(IF(DColumn=District,ROW(DColumn)),ROW(Sheet2!129:129)),4))</f>
        <v/>
      </c>
      <c r="E144" s="19">
        <f t="shared" ref="E144:E207" si="4">IFERROR(IF(F144=0,0,IF(ISBLANK(F144),D144/2,D144/F144)),"")</f>
        <v>0</v>
      </c>
      <c r="F144">
        <v>0</v>
      </c>
    </row>
    <row r="145" spans="2:6" x14ac:dyDescent="0.3">
      <c r="B145" s="3" t="str">
        <f t="array" ref="B145">IF(ISERROR(INDEX(votes,SMALL(IF(DColumn=District,ROW(DColumn)),ROW(Sheet2!130:130)),2)),"",INDEX(votes,SMALL(IF(DColumn=District,ROW(DColumn)),ROW(Sheet2!130:130)),2))</f>
        <v/>
      </c>
      <c r="C145" s="3" t="str">
        <f t="array" ref="C145">IF(ISERROR(INDEX(votes,SMALL(IF(DColumn=District,ROW(DColumn)),ROW(Sheet2!130:130)),3)),"",INDEX(votes,SMALL(IF(DColumn=District,ROW(DColumn)),ROW(Sheet2!130:130)),3))</f>
        <v/>
      </c>
      <c r="D145" s="4" t="str">
        <f t="array" ref="D145">IF(ISERROR(INDEX(votes,SMALL(IF(DColumn=District,ROW(DColumn)),ROW(Sheet2!130:130)),4)),"",INDEX(votes,SMALL(IF(DColumn=District,ROW(DColumn)),ROW(Sheet2!130:130)),4))</f>
        <v/>
      </c>
      <c r="E145" s="19">
        <f t="shared" si="4"/>
        <v>0</v>
      </c>
      <c r="F145">
        <v>0</v>
      </c>
    </row>
    <row r="146" spans="2:6" x14ac:dyDescent="0.3">
      <c r="B146" s="3" t="str">
        <f t="array" ref="B146">IF(ISERROR(INDEX(votes,SMALL(IF(DColumn=District,ROW(DColumn)),ROW(Sheet2!131:131)),2)),"",INDEX(votes,SMALL(IF(DColumn=District,ROW(DColumn)),ROW(Sheet2!131:131)),2))</f>
        <v/>
      </c>
      <c r="C146" s="3" t="str">
        <f t="array" ref="C146">IF(ISERROR(INDEX(votes,SMALL(IF(DColumn=District,ROW(DColumn)),ROW(Sheet2!131:131)),3)),"",INDEX(votes,SMALL(IF(DColumn=District,ROW(DColumn)),ROW(Sheet2!131:131)),3))</f>
        <v/>
      </c>
      <c r="D146" s="4" t="str">
        <f t="array" ref="D146">IF(ISERROR(INDEX(votes,SMALL(IF(DColumn=District,ROW(DColumn)),ROW(Sheet2!131:131)),4)),"",INDEX(votes,SMALL(IF(DColumn=District,ROW(DColumn)),ROW(Sheet2!131:131)),4))</f>
        <v/>
      </c>
      <c r="E146" s="19">
        <f t="shared" si="4"/>
        <v>0</v>
      </c>
      <c r="F146">
        <v>0</v>
      </c>
    </row>
    <row r="147" spans="2:6" x14ac:dyDescent="0.3">
      <c r="B147" s="3" t="str">
        <f t="array" ref="B147">IF(ISERROR(INDEX(votes,SMALL(IF(DColumn=District,ROW(DColumn)),ROW(Sheet2!132:132)),2)),"",INDEX(votes,SMALL(IF(DColumn=District,ROW(DColumn)),ROW(Sheet2!132:132)),2))</f>
        <v/>
      </c>
      <c r="C147" s="3" t="str">
        <f t="array" ref="C147">IF(ISERROR(INDEX(votes,SMALL(IF(DColumn=District,ROW(DColumn)),ROW(Sheet2!132:132)),3)),"",INDEX(votes,SMALL(IF(DColumn=District,ROW(DColumn)),ROW(Sheet2!132:132)),3))</f>
        <v/>
      </c>
      <c r="D147" s="4" t="str">
        <f t="array" ref="D147">IF(ISERROR(INDEX(votes,SMALL(IF(DColumn=District,ROW(DColumn)),ROW(Sheet2!132:132)),4)),"",INDEX(votes,SMALL(IF(DColumn=District,ROW(DColumn)),ROW(Sheet2!132:132)),4))</f>
        <v/>
      </c>
      <c r="E147" s="19">
        <f t="shared" si="4"/>
        <v>0</v>
      </c>
      <c r="F147">
        <v>0</v>
      </c>
    </row>
    <row r="148" spans="2:6" x14ac:dyDescent="0.3">
      <c r="B148" s="3" t="str">
        <f t="array" ref="B148">IF(ISERROR(INDEX(votes,SMALL(IF(DColumn=District,ROW(DColumn)),ROW(Sheet2!133:133)),2)),"",INDEX(votes,SMALL(IF(DColumn=District,ROW(DColumn)),ROW(Sheet2!133:133)),2))</f>
        <v/>
      </c>
      <c r="C148" s="3" t="str">
        <f t="array" ref="C148">IF(ISERROR(INDEX(votes,SMALL(IF(DColumn=District,ROW(DColumn)),ROW(Sheet2!133:133)),3)),"",INDEX(votes,SMALL(IF(DColumn=District,ROW(DColumn)),ROW(Sheet2!133:133)),3))</f>
        <v/>
      </c>
      <c r="D148" s="4" t="str">
        <f t="array" ref="D148">IF(ISERROR(INDEX(votes,SMALL(IF(DColumn=District,ROW(DColumn)),ROW(Sheet2!133:133)),4)),"",INDEX(votes,SMALL(IF(DColumn=District,ROW(DColumn)),ROW(Sheet2!133:133)),4))</f>
        <v/>
      </c>
      <c r="E148" s="19">
        <f t="shared" si="4"/>
        <v>0</v>
      </c>
      <c r="F148">
        <v>0</v>
      </c>
    </row>
    <row r="149" spans="2:6" x14ac:dyDescent="0.3">
      <c r="B149" s="3" t="str">
        <f t="array" ref="B149">IF(ISERROR(INDEX(votes,SMALL(IF(DColumn=District,ROW(DColumn)),ROW(Sheet2!134:134)),2)),"",INDEX(votes,SMALL(IF(DColumn=District,ROW(DColumn)),ROW(Sheet2!134:134)),2))</f>
        <v/>
      </c>
      <c r="C149" s="3" t="str">
        <f t="array" ref="C149">IF(ISERROR(INDEX(votes,SMALL(IF(DColumn=District,ROW(DColumn)),ROW(Sheet2!134:134)),3)),"",INDEX(votes,SMALL(IF(DColumn=District,ROW(DColumn)),ROW(Sheet2!134:134)),3))</f>
        <v/>
      </c>
      <c r="D149" s="4" t="str">
        <f t="array" ref="D149">IF(ISERROR(INDEX(votes,SMALL(IF(DColumn=District,ROW(DColumn)),ROW(Sheet2!134:134)),4)),"",INDEX(votes,SMALL(IF(DColumn=District,ROW(DColumn)),ROW(Sheet2!134:134)),4))</f>
        <v/>
      </c>
      <c r="E149" s="19">
        <f t="shared" si="4"/>
        <v>0</v>
      </c>
      <c r="F149">
        <v>0</v>
      </c>
    </row>
    <row r="150" spans="2:6" x14ac:dyDescent="0.3">
      <c r="B150" s="3" t="str">
        <f t="array" ref="B150">IF(ISERROR(INDEX(votes,SMALL(IF(DColumn=District,ROW(DColumn)),ROW(Sheet2!135:135)),2)),"",INDEX(votes,SMALL(IF(DColumn=District,ROW(DColumn)),ROW(Sheet2!135:135)),2))</f>
        <v/>
      </c>
      <c r="C150" s="3" t="str">
        <f t="array" ref="C150">IF(ISERROR(INDEX(votes,SMALL(IF(DColumn=District,ROW(DColumn)),ROW(Sheet2!135:135)),3)),"",INDEX(votes,SMALL(IF(DColumn=District,ROW(DColumn)),ROW(Sheet2!135:135)),3))</f>
        <v/>
      </c>
      <c r="D150" s="4" t="str">
        <f t="array" ref="D150">IF(ISERROR(INDEX(votes,SMALL(IF(DColumn=District,ROW(DColumn)),ROW(Sheet2!135:135)),4)),"",INDEX(votes,SMALL(IF(DColumn=District,ROW(DColumn)),ROW(Sheet2!135:135)),4))</f>
        <v/>
      </c>
      <c r="E150" s="19">
        <f t="shared" si="4"/>
        <v>0</v>
      </c>
      <c r="F150">
        <v>0</v>
      </c>
    </row>
    <row r="151" spans="2:6" x14ac:dyDescent="0.3">
      <c r="B151" s="3" t="str">
        <f t="array" ref="B151">IF(ISERROR(INDEX(votes,SMALL(IF(DColumn=District,ROW(DColumn)),ROW(Sheet2!136:136)),2)),"",INDEX(votes,SMALL(IF(DColumn=District,ROW(DColumn)),ROW(Sheet2!136:136)),2))</f>
        <v/>
      </c>
      <c r="C151" s="3" t="str">
        <f t="array" ref="C151">IF(ISERROR(INDEX(votes,SMALL(IF(DColumn=District,ROW(DColumn)),ROW(Sheet2!136:136)),3)),"",INDEX(votes,SMALL(IF(DColumn=District,ROW(DColumn)),ROW(Sheet2!136:136)),3))</f>
        <v/>
      </c>
      <c r="D151" s="4" t="str">
        <f t="array" ref="D151">IF(ISERROR(INDEX(votes,SMALL(IF(DColumn=District,ROW(DColumn)),ROW(Sheet2!136:136)),4)),"",INDEX(votes,SMALL(IF(DColumn=District,ROW(DColumn)),ROW(Sheet2!136:136)),4))</f>
        <v/>
      </c>
      <c r="E151" s="19">
        <f t="shared" si="4"/>
        <v>0</v>
      </c>
      <c r="F151">
        <v>0</v>
      </c>
    </row>
    <row r="152" spans="2:6" x14ac:dyDescent="0.3">
      <c r="B152" s="3" t="str">
        <f t="array" ref="B152">IF(ISERROR(INDEX(votes,SMALL(IF(DColumn=District,ROW(DColumn)),ROW(Sheet2!137:137)),2)),"",INDEX(votes,SMALL(IF(DColumn=District,ROW(DColumn)),ROW(Sheet2!137:137)),2))</f>
        <v/>
      </c>
      <c r="C152" s="3" t="str">
        <f t="array" ref="C152">IF(ISERROR(INDEX(votes,SMALL(IF(DColumn=District,ROW(DColumn)),ROW(Sheet2!137:137)),3)),"",INDEX(votes,SMALL(IF(DColumn=District,ROW(DColumn)),ROW(Sheet2!137:137)),3))</f>
        <v/>
      </c>
      <c r="D152" s="4" t="str">
        <f t="array" ref="D152">IF(ISERROR(INDEX(votes,SMALL(IF(DColumn=District,ROW(DColumn)),ROW(Sheet2!137:137)),4)),"",INDEX(votes,SMALL(IF(DColumn=District,ROW(DColumn)),ROW(Sheet2!137:137)),4))</f>
        <v/>
      </c>
      <c r="E152" s="19">
        <f t="shared" si="4"/>
        <v>0</v>
      </c>
      <c r="F152">
        <v>0</v>
      </c>
    </row>
    <row r="153" spans="2:6" x14ac:dyDescent="0.3">
      <c r="B153" s="3" t="str">
        <f t="array" ref="B153">IF(ISERROR(INDEX(votes,SMALL(IF(DColumn=District,ROW(DColumn)),ROW(Sheet2!138:138)),2)),"",INDEX(votes,SMALL(IF(DColumn=District,ROW(DColumn)),ROW(Sheet2!138:138)),2))</f>
        <v/>
      </c>
      <c r="C153" s="3" t="str">
        <f t="array" ref="C153">IF(ISERROR(INDEX(votes,SMALL(IF(DColumn=District,ROW(DColumn)),ROW(Sheet2!138:138)),3)),"",INDEX(votes,SMALL(IF(DColumn=District,ROW(DColumn)),ROW(Sheet2!138:138)),3))</f>
        <v/>
      </c>
      <c r="D153" s="4" t="str">
        <f t="array" ref="D153">IF(ISERROR(INDEX(votes,SMALL(IF(DColumn=District,ROW(DColumn)),ROW(Sheet2!138:138)),4)),"",INDEX(votes,SMALL(IF(DColumn=District,ROW(DColumn)),ROW(Sheet2!138:138)),4))</f>
        <v/>
      </c>
      <c r="E153" s="19">
        <f t="shared" si="4"/>
        <v>0</v>
      </c>
      <c r="F153">
        <v>0</v>
      </c>
    </row>
    <row r="154" spans="2:6" x14ac:dyDescent="0.3">
      <c r="B154" s="3" t="str">
        <f t="array" ref="B154">IF(ISERROR(INDEX(votes,SMALL(IF(DColumn=District,ROW(DColumn)),ROW(Sheet2!139:139)),2)),"",INDEX(votes,SMALL(IF(DColumn=District,ROW(DColumn)),ROW(Sheet2!139:139)),2))</f>
        <v/>
      </c>
      <c r="C154" s="3" t="str">
        <f t="array" ref="C154">IF(ISERROR(INDEX(votes,SMALL(IF(DColumn=District,ROW(DColumn)),ROW(Sheet2!139:139)),3)),"",INDEX(votes,SMALL(IF(DColumn=District,ROW(DColumn)),ROW(Sheet2!139:139)),3))</f>
        <v/>
      </c>
      <c r="D154" s="4" t="str">
        <f t="array" ref="D154">IF(ISERROR(INDEX(votes,SMALL(IF(DColumn=District,ROW(DColumn)),ROW(Sheet2!139:139)),4)),"",INDEX(votes,SMALL(IF(DColumn=District,ROW(DColumn)),ROW(Sheet2!139:139)),4))</f>
        <v/>
      </c>
      <c r="E154" s="19">
        <f t="shared" si="4"/>
        <v>0</v>
      </c>
      <c r="F154">
        <v>0</v>
      </c>
    </row>
    <row r="155" spans="2:6" x14ac:dyDescent="0.3">
      <c r="B155" s="3" t="str">
        <f t="array" ref="B155">IF(ISERROR(INDEX(votes,SMALL(IF(DColumn=District,ROW(DColumn)),ROW(Sheet2!140:140)),2)),"",INDEX(votes,SMALL(IF(DColumn=District,ROW(DColumn)),ROW(Sheet2!140:140)),2))</f>
        <v/>
      </c>
      <c r="C155" s="3" t="str">
        <f t="array" ref="C155">IF(ISERROR(INDEX(votes,SMALL(IF(DColumn=District,ROW(DColumn)),ROW(Sheet2!140:140)),3)),"",INDEX(votes,SMALL(IF(DColumn=District,ROW(DColumn)),ROW(Sheet2!140:140)),3))</f>
        <v/>
      </c>
      <c r="D155" s="4" t="str">
        <f t="array" ref="D155">IF(ISERROR(INDEX(votes,SMALL(IF(DColumn=District,ROW(DColumn)),ROW(Sheet2!140:140)),4)),"",INDEX(votes,SMALL(IF(DColumn=District,ROW(DColumn)),ROW(Sheet2!140:140)),4))</f>
        <v/>
      </c>
      <c r="E155" s="19">
        <f t="shared" si="4"/>
        <v>0</v>
      </c>
      <c r="F155">
        <v>0</v>
      </c>
    </row>
    <row r="156" spans="2:6" x14ac:dyDescent="0.3">
      <c r="B156" s="3" t="str">
        <f t="array" ref="B156">IF(ISERROR(INDEX(votes,SMALL(IF(DColumn=District,ROW(DColumn)),ROW(Sheet2!141:141)),2)),"",INDEX(votes,SMALL(IF(DColumn=District,ROW(DColumn)),ROW(Sheet2!141:141)),2))</f>
        <v/>
      </c>
      <c r="C156" s="3" t="str">
        <f t="array" ref="C156">IF(ISERROR(INDEX(votes,SMALL(IF(DColumn=District,ROW(DColumn)),ROW(Sheet2!141:141)),3)),"",INDEX(votes,SMALL(IF(DColumn=District,ROW(DColumn)),ROW(Sheet2!141:141)),3))</f>
        <v/>
      </c>
      <c r="D156" s="4" t="str">
        <f t="array" ref="D156">IF(ISERROR(INDEX(votes,SMALL(IF(DColumn=District,ROW(DColumn)),ROW(Sheet2!141:141)),4)),"",INDEX(votes,SMALL(IF(DColumn=District,ROW(DColumn)),ROW(Sheet2!141:141)),4))</f>
        <v/>
      </c>
      <c r="E156" s="19">
        <f t="shared" si="4"/>
        <v>0</v>
      </c>
      <c r="F156">
        <v>0</v>
      </c>
    </row>
    <row r="157" spans="2:6" x14ac:dyDescent="0.3">
      <c r="B157" s="3" t="str">
        <f t="array" ref="B157">IF(ISERROR(INDEX(votes,SMALL(IF(DColumn=District,ROW(DColumn)),ROW(Sheet2!142:142)),2)),"",INDEX(votes,SMALL(IF(DColumn=District,ROW(DColumn)),ROW(Sheet2!142:142)),2))</f>
        <v/>
      </c>
      <c r="C157" s="3" t="str">
        <f t="array" ref="C157">IF(ISERROR(INDEX(votes,SMALL(IF(DColumn=District,ROW(DColumn)),ROW(Sheet2!142:142)),3)),"",INDEX(votes,SMALL(IF(DColumn=District,ROW(DColumn)),ROW(Sheet2!142:142)),3))</f>
        <v/>
      </c>
      <c r="D157" s="4" t="str">
        <f t="array" ref="D157">IF(ISERROR(INDEX(votes,SMALL(IF(DColumn=District,ROW(DColumn)),ROW(Sheet2!142:142)),4)),"",INDEX(votes,SMALL(IF(DColumn=District,ROW(DColumn)),ROW(Sheet2!142:142)),4))</f>
        <v/>
      </c>
      <c r="E157" s="19">
        <f t="shared" si="4"/>
        <v>0</v>
      </c>
      <c r="F157">
        <v>0</v>
      </c>
    </row>
    <row r="158" spans="2:6" x14ac:dyDescent="0.3">
      <c r="B158" s="3" t="str">
        <f t="array" ref="B158">IF(ISERROR(INDEX(votes,SMALL(IF(DColumn=District,ROW(DColumn)),ROW(Sheet2!143:143)),2)),"",INDEX(votes,SMALL(IF(DColumn=District,ROW(DColumn)),ROW(Sheet2!143:143)),2))</f>
        <v/>
      </c>
      <c r="C158" s="3" t="str">
        <f t="array" ref="C158">IF(ISERROR(INDEX(votes,SMALL(IF(DColumn=District,ROW(DColumn)),ROW(Sheet2!143:143)),3)),"",INDEX(votes,SMALL(IF(DColumn=District,ROW(DColumn)),ROW(Sheet2!143:143)),3))</f>
        <v/>
      </c>
      <c r="D158" s="4" t="str">
        <f t="array" ref="D158">IF(ISERROR(INDEX(votes,SMALL(IF(DColumn=District,ROW(DColumn)),ROW(Sheet2!143:143)),4)),"",INDEX(votes,SMALL(IF(DColumn=District,ROW(DColumn)),ROW(Sheet2!143:143)),4))</f>
        <v/>
      </c>
      <c r="E158" s="19">
        <f t="shared" si="4"/>
        <v>0</v>
      </c>
      <c r="F158">
        <v>0</v>
      </c>
    </row>
    <row r="159" spans="2:6" x14ac:dyDescent="0.3">
      <c r="B159" s="3" t="str">
        <f t="array" ref="B159">IF(ISERROR(INDEX(votes,SMALL(IF(DColumn=District,ROW(DColumn)),ROW(Sheet2!144:144)),2)),"",INDEX(votes,SMALL(IF(DColumn=District,ROW(DColumn)),ROW(Sheet2!144:144)),2))</f>
        <v/>
      </c>
      <c r="C159" s="3" t="str">
        <f t="array" ref="C159">IF(ISERROR(INDEX(votes,SMALL(IF(DColumn=District,ROW(DColumn)),ROW(Sheet2!144:144)),3)),"",INDEX(votes,SMALL(IF(DColumn=District,ROW(DColumn)),ROW(Sheet2!144:144)),3))</f>
        <v/>
      </c>
      <c r="D159" s="4" t="str">
        <f t="array" ref="D159">IF(ISERROR(INDEX(votes,SMALL(IF(DColumn=District,ROW(DColumn)),ROW(Sheet2!144:144)),4)),"",INDEX(votes,SMALL(IF(DColumn=District,ROW(DColumn)),ROW(Sheet2!144:144)),4))</f>
        <v/>
      </c>
      <c r="E159" s="19">
        <f t="shared" si="4"/>
        <v>0</v>
      </c>
      <c r="F159">
        <v>0</v>
      </c>
    </row>
    <row r="160" spans="2:6" x14ac:dyDescent="0.3">
      <c r="B160" s="3" t="str">
        <f t="array" ref="B160">IF(ISERROR(INDEX(votes,SMALL(IF(DColumn=District,ROW(DColumn)),ROW(Sheet2!145:145)),2)),"",INDEX(votes,SMALL(IF(DColumn=District,ROW(DColumn)),ROW(Sheet2!145:145)),2))</f>
        <v/>
      </c>
      <c r="C160" s="3" t="str">
        <f t="array" ref="C160">IF(ISERROR(INDEX(votes,SMALL(IF(DColumn=District,ROW(DColumn)),ROW(Sheet2!145:145)),3)),"",INDEX(votes,SMALL(IF(DColumn=District,ROW(DColumn)),ROW(Sheet2!145:145)),3))</f>
        <v/>
      </c>
      <c r="D160" s="4" t="str">
        <f t="array" ref="D160">IF(ISERROR(INDEX(votes,SMALL(IF(DColumn=District,ROW(DColumn)),ROW(Sheet2!145:145)),4)),"",INDEX(votes,SMALL(IF(DColumn=District,ROW(DColumn)),ROW(Sheet2!145:145)),4))</f>
        <v/>
      </c>
      <c r="E160" s="19">
        <f t="shared" si="4"/>
        <v>0</v>
      </c>
      <c r="F160">
        <v>0</v>
      </c>
    </row>
    <row r="161" spans="2:6" x14ac:dyDescent="0.3">
      <c r="B161" s="3" t="str">
        <f t="array" ref="B161">IF(ISERROR(INDEX(votes,SMALL(IF(DColumn=District,ROW(DColumn)),ROW(Sheet2!146:146)),2)),"",INDEX(votes,SMALL(IF(DColumn=District,ROW(DColumn)),ROW(Sheet2!146:146)),2))</f>
        <v/>
      </c>
      <c r="C161" s="3" t="str">
        <f t="array" ref="C161">IF(ISERROR(INDEX(votes,SMALL(IF(DColumn=District,ROW(DColumn)),ROW(Sheet2!146:146)),3)),"",INDEX(votes,SMALL(IF(DColumn=District,ROW(DColumn)),ROW(Sheet2!146:146)),3))</f>
        <v/>
      </c>
      <c r="D161" s="4" t="str">
        <f t="array" ref="D161">IF(ISERROR(INDEX(votes,SMALL(IF(DColumn=District,ROW(DColumn)),ROW(Sheet2!146:146)),4)),"",INDEX(votes,SMALL(IF(DColumn=District,ROW(DColumn)),ROW(Sheet2!146:146)),4))</f>
        <v/>
      </c>
      <c r="E161" s="19">
        <f t="shared" si="4"/>
        <v>0</v>
      </c>
      <c r="F161">
        <v>0</v>
      </c>
    </row>
    <row r="162" spans="2:6" x14ac:dyDescent="0.3">
      <c r="B162" s="3" t="str">
        <f t="array" ref="B162">IF(ISERROR(INDEX(votes,SMALL(IF(DColumn=District,ROW(DColumn)),ROW(Sheet2!147:147)),2)),"",INDEX(votes,SMALL(IF(DColumn=District,ROW(DColumn)),ROW(Sheet2!147:147)),2))</f>
        <v/>
      </c>
      <c r="C162" s="3" t="str">
        <f t="array" ref="C162">IF(ISERROR(INDEX(votes,SMALL(IF(DColumn=District,ROW(DColumn)),ROW(Sheet2!147:147)),3)),"",INDEX(votes,SMALL(IF(DColumn=District,ROW(DColumn)),ROW(Sheet2!147:147)),3))</f>
        <v/>
      </c>
      <c r="D162" s="4" t="str">
        <f t="array" ref="D162">IF(ISERROR(INDEX(votes,SMALL(IF(DColumn=District,ROW(DColumn)),ROW(Sheet2!147:147)),4)),"",INDEX(votes,SMALL(IF(DColumn=District,ROW(DColumn)),ROW(Sheet2!147:147)),4))</f>
        <v/>
      </c>
      <c r="E162" s="19">
        <f t="shared" si="4"/>
        <v>0</v>
      </c>
      <c r="F162">
        <v>0</v>
      </c>
    </row>
    <row r="163" spans="2:6" x14ac:dyDescent="0.3">
      <c r="B163" s="3" t="str">
        <f t="array" ref="B163">IF(ISERROR(INDEX(votes,SMALL(IF(DColumn=District,ROW(DColumn)),ROW(Sheet2!148:148)),2)),"",INDEX(votes,SMALL(IF(DColumn=District,ROW(DColumn)),ROW(Sheet2!148:148)),2))</f>
        <v/>
      </c>
      <c r="C163" s="3" t="str">
        <f t="array" ref="C163">IF(ISERROR(INDEX(votes,SMALL(IF(DColumn=District,ROW(DColumn)),ROW(Sheet2!148:148)),3)),"",INDEX(votes,SMALL(IF(DColumn=District,ROW(DColumn)),ROW(Sheet2!148:148)),3))</f>
        <v/>
      </c>
      <c r="D163" s="4" t="str">
        <f t="array" ref="D163">IF(ISERROR(INDEX(votes,SMALL(IF(DColumn=District,ROW(DColumn)),ROW(Sheet2!148:148)),4)),"",INDEX(votes,SMALL(IF(DColumn=District,ROW(DColumn)),ROW(Sheet2!148:148)),4))</f>
        <v/>
      </c>
      <c r="E163" s="19">
        <f t="shared" si="4"/>
        <v>0</v>
      </c>
      <c r="F163">
        <v>0</v>
      </c>
    </row>
    <row r="164" spans="2:6" x14ac:dyDescent="0.3">
      <c r="B164" s="3" t="str">
        <f t="array" ref="B164">IF(ISERROR(INDEX(votes,SMALL(IF(DColumn=District,ROW(DColumn)),ROW(Sheet2!149:149)),2)),"",INDEX(votes,SMALL(IF(DColumn=District,ROW(DColumn)),ROW(Sheet2!149:149)),2))</f>
        <v/>
      </c>
      <c r="C164" s="3" t="str">
        <f t="array" ref="C164">IF(ISERROR(INDEX(votes,SMALL(IF(DColumn=District,ROW(DColumn)),ROW(Sheet2!149:149)),3)),"",INDEX(votes,SMALL(IF(DColumn=District,ROW(DColumn)),ROW(Sheet2!149:149)),3))</f>
        <v/>
      </c>
      <c r="D164" s="4" t="str">
        <f t="array" ref="D164">IF(ISERROR(INDEX(votes,SMALL(IF(DColumn=District,ROW(DColumn)),ROW(Sheet2!149:149)),4)),"",INDEX(votes,SMALL(IF(DColumn=District,ROW(DColumn)),ROW(Sheet2!149:149)),4))</f>
        <v/>
      </c>
      <c r="E164" s="19">
        <f t="shared" si="4"/>
        <v>0</v>
      </c>
      <c r="F164">
        <v>0</v>
      </c>
    </row>
    <row r="165" spans="2:6" x14ac:dyDescent="0.3">
      <c r="B165" s="3" t="str">
        <f t="array" ref="B165">IF(ISERROR(INDEX(votes,SMALL(IF(DColumn=District,ROW(DColumn)),ROW(Sheet2!150:150)),2)),"",INDEX(votes,SMALL(IF(DColumn=District,ROW(DColumn)),ROW(Sheet2!150:150)),2))</f>
        <v/>
      </c>
      <c r="C165" s="3" t="str">
        <f t="array" ref="C165">IF(ISERROR(INDEX(votes,SMALL(IF(DColumn=District,ROW(DColumn)),ROW(Sheet2!150:150)),3)),"",INDEX(votes,SMALL(IF(DColumn=District,ROW(DColumn)),ROW(Sheet2!150:150)),3))</f>
        <v/>
      </c>
      <c r="D165" s="4" t="str">
        <f t="array" ref="D165">IF(ISERROR(INDEX(votes,SMALL(IF(DColumn=District,ROW(DColumn)),ROW(Sheet2!150:150)),4)),"",INDEX(votes,SMALL(IF(DColumn=District,ROW(DColumn)),ROW(Sheet2!150:150)),4))</f>
        <v/>
      </c>
      <c r="E165" s="19">
        <f t="shared" si="4"/>
        <v>0</v>
      </c>
      <c r="F165">
        <v>0</v>
      </c>
    </row>
    <row r="166" spans="2:6" x14ac:dyDescent="0.3">
      <c r="B166" s="3" t="str">
        <f t="array" ref="B166">IF(ISERROR(INDEX(votes,SMALL(IF(DColumn=District,ROW(DColumn)),ROW(Sheet2!151:151)),2)),"",INDEX(votes,SMALL(IF(DColumn=District,ROW(DColumn)),ROW(Sheet2!151:151)),2))</f>
        <v/>
      </c>
      <c r="C166" s="3" t="str">
        <f t="array" ref="C166">IF(ISERROR(INDEX(votes,SMALL(IF(DColumn=District,ROW(DColumn)),ROW(Sheet2!151:151)),3)),"",INDEX(votes,SMALL(IF(DColumn=District,ROW(DColumn)),ROW(Sheet2!151:151)),3))</f>
        <v/>
      </c>
      <c r="D166" s="4" t="str">
        <f t="array" ref="D166">IF(ISERROR(INDEX(votes,SMALL(IF(DColumn=District,ROW(DColumn)),ROW(Sheet2!151:151)),4)),"",INDEX(votes,SMALL(IF(DColumn=District,ROW(DColumn)),ROW(Sheet2!151:151)),4))</f>
        <v/>
      </c>
      <c r="E166" s="19">
        <f t="shared" si="4"/>
        <v>0</v>
      </c>
      <c r="F166">
        <v>0</v>
      </c>
    </row>
    <row r="167" spans="2:6" x14ac:dyDescent="0.3">
      <c r="B167" s="3" t="str">
        <f t="array" ref="B167">IF(ISERROR(INDEX(votes,SMALL(IF(DColumn=District,ROW(DColumn)),ROW(Sheet2!152:152)),2)),"",INDEX(votes,SMALL(IF(DColumn=District,ROW(DColumn)),ROW(Sheet2!152:152)),2))</f>
        <v/>
      </c>
      <c r="C167" s="3" t="str">
        <f t="array" ref="C167">IF(ISERROR(INDEX(votes,SMALL(IF(DColumn=District,ROW(DColumn)),ROW(Sheet2!152:152)),3)),"",INDEX(votes,SMALL(IF(DColumn=District,ROW(DColumn)),ROW(Sheet2!152:152)),3))</f>
        <v/>
      </c>
      <c r="D167" s="4" t="str">
        <f t="array" ref="D167">IF(ISERROR(INDEX(votes,SMALL(IF(DColumn=District,ROW(DColumn)),ROW(Sheet2!152:152)),4)),"",INDEX(votes,SMALL(IF(DColumn=District,ROW(DColumn)),ROW(Sheet2!152:152)),4))</f>
        <v/>
      </c>
      <c r="E167" s="19">
        <f t="shared" si="4"/>
        <v>0</v>
      </c>
      <c r="F167">
        <v>0</v>
      </c>
    </row>
    <row r="168" spans="2:6" x14ac:dyDescent="0.3">
      <c r="B168" s="3" t="str">
        <f t="array" ref="B168">IF(ISERROR(INDEX(votes,SMALL(IF(DColumn=District,ROW(DColumn)),ROW(Sheet2!153:153)),2)),"",INDEX(votes,SMALL(IF(DColumn=District,ROW(DColumn)),ROW(Sheet2!153:153)),2))</f>
        <v/>
      </c>
      <c r="C168" s="3" t="str">
        <f t="array" ref="C168">IF(ISERROR(INDEX(votes,SMALL(IF(DColumn=District,ROW(DColumn)),ROW(Sheet2!153:153)),3)),"",INDEX(votes,SMALL(IF(DColumn=District,ROW(DColumn)),ROW(Sheet2!153:153)),3))</f>
        <v/>
      </c>
      <c r="D168" s="4" t="str">
        <f t="array" ref="D168">IF(ISERROR(INDEX(votes,SMALL(IF(DColumn=District,ROW(DColumn)),ROW(Sheet2!153:153)),4)),"",INDEX(votes,SMALL(IF(DColumn=District,ROW(DColumn)),ROW(Sheet2!153:153)),4))</f>
        <v/>
      </c>
      <c r="E168" s="19">
        <f t="shared" si="4"/>
        <v>0</v>
      </c>
      <c r="F168">
        <v>0</v>
      </c>
    </row>
    <row r="169" spans="2:6" x14ac:dyDescent="0.3">
      <c r="B169" s="3" t="str">
        <f t="array" ref="B169">IF(ISERROR(INDEX(votes,SMALL(IF(DColumn=District,ROW(DColumn)),ROW(Sheet2!154:154)),2)),"",INDEX(votes,SMALL(IF(DColumn=District,ROW(DColumn)),ROW(Sheet2!154:154)),2))</f>
        <v/>
      </c>
      <c r="C169" s="3" t="str">
        <f t="array" ref="C169">IF(ISERROR(INDEX(votes,SMALL(IF(DColumn=District,ROW(DColumn)),ROW(Sheet2!154:154)),3)),"",INDEX(votes,SMALL(IF(DColumn=District,ROW(DColumn)),ROW(Sheet2!154:154)),3))</f>
        <v/>
      </c>
      <c r="D169" s="4" t="str">
        <f t="array" ref="D169">IF(ISERROR(INDEX(votes,SMALL(IF(DColumn=District,ROW(DColumn)),ROW(Sheet2!154:154)),4)),"",INDEX(votes,SMALL(IF(DColumn=District,ROW(DColumn)),ROW(Sheet2!154:154)),4))</f>
        <v/>
      </c>
      <c r="E169" s="19">
        <f t="shared" si="4"/>
        <v>0</v>
      </c>
      <c r="F169">
        <v>0</v>
      </c>
    </row>
    <row r="170" spans="2:6" x14ac:dyDescent="0.3">
      <c r="B170" s="3" t="str">
        <f t="array" ref="B170">IF(ISERROR(INDEX(votes,SMALL(IF(DColumn=District,ROW(DColumn)),ROW(Sheet2!155:155)),2)),"",INDEX(votes,SMALL(IF(DColumn=District,ROW(DColumn)),ROW(Sheet2!155:155)),2))</f>
        <v/>
      </c>
      <c r="C170" s="3" t="str">
        <f t="array" ref="C170">IF(ISERROR(INDEX(votes,SMALL(IF(DColumn=District,ROW(DColumn)),ROW(Sheet2!155:155)),3)),"",INDEX(votes,SMALL(IF(DColumn=District,ROW(DColumn)),ROW(Sheet2!155:155)),3))</f>
        <v/>
      </c>
      <c r="D170" s="4" t="str">
        <f t="array" ref="D170">IF(ISERROR(INDEX(votes,SMALL(IF(DColumn=District,ROW(DColumn)),ROW(Sheet2!155:155)),4)),"",INDEX(votes,SMALL(IF(DColumn=District,ROW(DColumn)),ROW(Sheet2!155:155)),4))</f>
        <v/>
      </c>
      <c r="E170" s="19">
        <f t="shared" si="4"/>
        <v>0</v>
      </c>
      <c r="F170">
        <v>0</v>
      </c>
    </row>
    <row r="171" spans="2:6" x14ac:dyDescent="0.3">
      <c r="B171" s="3" t="str">
        <f t="array" ref="B171">IF(ISERROR(INDEX(votes,SMALL(IF(DColumn=District,ROW(DColumn)),ROW(Sheet2!156:156)),2)),"",INDEX(votes,SMALL(IF(DColumn=District,ROW(DColumn)),ROW(Sheet2!156:156)),2))</f>
        <v/>
      </c>
      <c r="C171" s="3" t="str">
        <f t="array" ref="C171">IF(ISERROR(INDEX(votes,SMALL(IF(DColumn=District,ROW(DColumn)),ROW(Sheet2!156:156)),3)),"",INDEX(votes,SMALL(IF(DColumn=District,ROW(DColumn)),ROW(Sheet2!156:156)),3))</f>
        <v/>
      </c>
      <c r="D171" s="4" t="str">
        <f t="array" ref="D171">IF(ISERROR(INDEX(votes,SMALL(IF(DColumn=District,ROW(DColumn)),ROW(Sheet2!156:156)),4)),"",INDEX(votes,SMALL(IF(DColumn=District,ROW(DColumn)),ROW(Sheet2!156:156)),4))</f>
        <v/>
      </c>
      <c r="E171" s="19">
        <f t="shared" si="4"/>
        <v>0</v>
      </c>
      <c r="F171">
        <v>0</v>
      </c>
    </row>
    <row r="172" spans="2:6" x14ac:dyDescent="0.3">
      <c r="B172" s="3" t="str">
        <f t="array" ref="B172">IF(ISERROR(INDEX(votes,SMALL(IF(DColumn=District,ROW(DColumn)),ROW(Sheet2!157:157)),2)),"",INDEX(votes,SMALL(IF(DColumn=District,ROW(DColumn)),ROW(Sheet2!157:157)),2))</f>
        <v/>
      </c>
      <c r="C172" s="3" t="str">
        <f t="array" ref="C172">IF(ISERROR(INDEX(votes,SMALL(IF(DColumn=District,ROW(DColumn)),ROW(Sheet2!157:157)),3)),"",INDEX(votes,SMALL(IF(DColumn=District,ROW(DColumn)),ROW(Sheet2!157:157)),3))</f>
        <v/>
      </c>
      <c r="D172" s="4" t="str">
        <f t="array" ref="D172">IF(ISERROR(INDEX(votes,SMALL(IF(DColumn=District,ROW(DColumn)),ROW(Sheet2!157:157)),4)),"",INDEX(votes,SMALL(IF(DColumn=District,ROW(DColumn)),ROW(Sheet2!157:157)),4))</f>
        <v/>
      </c>
      <c r="E172" s="19">
        <f t="shared" si="4"/>
        <v>0</v>
      </c>
      <c r="F172">
        <v>0</v>
      </c>
    </row>
    <row r="173" spans="2:6" x14ac:dyDescent="0.3">
      <c r="B173" s="3" t="str">
        <f t="array" ref="B173">IF(ISERROR(INDEX(votes,SMALL(IF(DColumn=District,ROW(DColumn)),ROW(Sheet2!158:158)),2)),"",INDEX(votes,SMALL(IF(DColumn=District,ROW(DColumn)),ROW(Sheet2!158:158)),2))</f>
        <v/>
      </c>
      <c r="C173" s="3" t="str">
        <f t="array" ref="C173">IF(ISERROR(INDEX(votes,SMALL(IF(DColumn=District,ROW(DColumn)),ROW(Sheet2!158:158)),3)),"",INDEX(votes,SMALL(IF(DColumn=District,ROW(DColumn)),ROW(Sheet2!158:158)),3))</f>
        <v/>
      </c>
      <c r="D173" s="4" t="str">
        <f t="array" ref="D173">IF(ISERROR(INDEX(votes,SMALL(IF(DColumn=District,ROW(DColumn)),ROW(Sheet2!158:158)),4)),"",INDEX(votes,SMALL(IF(DColumn=District,ROW(DColumn)),ROW(Sheet2!158:158)),4))</f>
        <v/>
      </c>
      <c r="E173" s="19">
        <f t="shared" si="4"/>
        <v>0</v>
      </c>
      <c r="F173">
        <v>0</v>
      </c>
    </row>
    <row r="174" spans="2:6" x14ac:dyDescent="0.3">
      <c r="B174" s="3" t="str">
        <f t="array" ref="B174">IF(ISERROR(INDEX(votes,SMALL(IF(DColumn=District,ROW(DColumn)),ROW(Sheet2!159:159)),2)),"",INDEX(votes,SMALL(IF(DColumn=District,ROW(DColumn)),ROW(Sheet2!159:159)),2))</f>
        <v/>
      </c>
      <c r="C174" s="3" t="str">
        <f t="array" ref="C174">IF(ISERROR(INDEX(votes,SMALL(IF(DColumn=District,ROW(DColumn)),ROW(Sheet2!159:159)),3)),"",INDEX(votes,SMALL(IF(DColumn=District,ROW(DColumn)),ROW(Sheet2!159:159)),3))</f>
        <v/>
      </c>
      <c r="D174" s="4" t="str">
        <f t="array" ref="D174">IF(ISERROR(INDEX(votes,SMALL(IF(DColumn=District,ROW(DColumn)),ROW(Sheet2!159:159)),4)),"",INDEX(votes,SMALL(IF(DColumn=District,ROW(DColumn)),ROW(Sheet2!159:159)),4))</f>
        <v/>
      </c>
      <c r="E174" s="19">
        <f t="shared" si="4"/>
        <v>0</v>
      </c>
      <c r="F174">
        <v>0</v>
      </c>
    </row>
    <row r="175" spans="2:6" x14ac:dyDescent="0.3">
      <c r="B175" s="3" t="str">
        <f t="array" ref="B175">IF(ISERROR(INDEX(votes,SMALL(IF(DColumn=District,ROW(DColumn)),ROW(Sheet2!160:160)),2)),"",INDEX(votes,SMALL(IF(DColumn=District,ROW(DColumn)),ROW(Sheet2!160:160)),2))</f>
        <v/>
      </c>
      <c r="C175" s="3" t="str">
        <f t="array" ref="C175">IF(ISERROR(INDEX(votes,SMALL(IF(DColumn=District,ROW(DColumn)),ROW(Sheet2!160:160)),3)),"",INDEX(votes,SMALL(IF(DColumn=District,ROW(DColumn)),ROW(Sheet2!160:160)),3))</f>
        <v/>
      </c>
      <c r="D175" s="4" t="str">
        <f t="array" ref="D175">IF(ISERROR(INDEX(votes,SMALL(IF(DColumn=District,ROW(DColumn)),ROW(Sheet2!160:160)),4)),"",INDEX(votes,SMALL(IF(DColumn=District,ROW(DColumn)),ROW(Sheet2!160:160)),4))</f>
        <v/>
      </c>
      <c r="E175" s="19">
        <f t="shared" si="4"/>
        <v>0</v>
      </c>
      <c r="F175">
        <v>0</v>
      </c>
    </row>
    <row r="176" spans="2:6" x14ac:dyDescent="0.3">
      <c r="B176" s="3" t="str">
        <f t="array" ref="B176">IF(ISERROR(INDEX(votes,SMALL(IF(DColumn=District,ROW(DColumn)),ROW(Sheet2!161:161)),2)),"",INDEX(votes,SMALL(IF(DColumn=District,ROW(DColumn)),ROW(Sheet2!161:161)),2))</f>
        <v/>
      </c>
      <c r="C176" s="3" t="str">
        <f t="array" ref="C176">IF(ISERROR(INDEX(votes,SMALL(IF(DColumn=District,ROW(DColumn)),ROW(Sheet2!161:161)),3)),"",INDEX(votes,SMALL(IF(DColumn=District,ROW(DColumn)),ROW(Sheet2!161:161)),3))</f>
        <v/>
      </c>
      <c r="D176" s="4" t="str">
        <f t="array" ref="D176">IF(ISERROR(INDEX(votes,SMALL(IF(DColumn=District,ROW(DColumn)),ROW(Sheet2!161:161)),4)),"",INDEX(votes,SMALL(IF(DColumn=District,ROW(DColumn)),ROW(Sheet2!161:161)),4))</f>
        <v/>
      </c>
      <c r="E176" s="19">
        <f t="shared" si="4"/>
        <v>0</v>
      </c>
      <c r="F176">
        <v>0</v>
      </c>
    </row>
    <row r="177" spans="2:6" x14ac:dyDescent="0.3">
      <c r="B177" s="3" t="str">
        <f t="array" ref="B177">IF(ISERROR(INDEX(votes,SMALL(IF(DColumn=District,ROW(DColumn)),ROW(Sheet2!162:162)),2)),"",INDEX(votes,SMALL(IF(DColumn=District,ROW(DColumn)),ROW(Sheet2!162:162)),2))</f>
        <v/>
      </c>
      <c r="C177" s="3" t="str">
        <f t="array" ref="C177">IF(ISERROR(INDEX(votes,SMALL(IF(DColumn=District,ROW(DColumn)),ROW(Sheet2!162:162)),3)),"",INDEX(votes,SMALL(IF(DColumn=District,ROW(DColumn)),ROW(Sheet2!162:162)),3))</f>
        <v/>
      </c>
      <c r="D177" s="4" t="str">
        <f t="array" ref="D177">IF(ISERROR(INDEX(votes,SMALL(IF(DColumn=District,ROW(DColumn)),ROW(Sheet2!162:162)),4)),"",INDEX(votes,SMALL(IF(DColumn=District,ROW(DColumn)),ROW(Sheet2!162:162)),4))</f>
        <v/>
      </c>
      <c r="E177" s="19">
        <f t="shared" si="4"/>
        <v>0</v>
      </c>
      <c r="F177">
        <v>0</v>
      </c>
    </row>
    <row r="178" spans="2:6" x14ac:dyDescent="0.3">
      <c r="B178" s="3" t="str">
        <f t="array" ref="B178">IF(ISERROR(INDEX(votes,SMALL(IF(DColumn=District,ROW(DColumn)),ROW(Sheet2!163:163)),2)),"",INDEX(votes,SMALL(IF(DColumn=District,ROW(DColumn)),ROW(Sheet2!163:163)),2))</f>
        <v/>
      </c>
      <c r="C178" s="3" t="str">
        <f t="array" ref="C178">IF(ISERROR(INDEX(votes,SMALL(IF(DColumn=District,ROW(DColumn)),ROW(Sheet2!163:163)),3)),"",INDEX(votes,SMALL(IF(DColumn=District,ROW(DColumn)),ROW(Sheet2!163:163)),3))</f>
        <v/>
      </c>
      <c r="D178" s="4" t="str">
        <f t="array" ref="D178">IF(ISERROR(INDEX(votes,SMALL(IF(DColumn=District,ROW(DColumn)),ROW(Sheet2!163:163)),4)),"",INDEX(votes,SMALL(IF(DColumn=District,ROW(DColumn)),ROW(Sheet2!163:163)),4))</f>
        <v/>
      </c>
      <c r="E178" s="19">
        <f t="shared" si="4"/>
        <v>0</v>
      </c>
      <c r="F178">
        <v>0</v>
      </c>
    </row>
    <row r="179" spans="2:6" x14ac:dyDescent="0.3">
      <c r="B179" s="3" t="str">
        <f t="array" ref="B179">IF(ISERROR(INDEX(votes,SMALL(IF(DColumn=District,ROW(DColumn)),ROW(Sheet2!164:164)),2)),"",INDEX(votes,SMALL(IF(DColumn=District,ROW(DColumn)),ROW(Sheet2!164:164)),2))</f>
        <v/>
      </c>
      <c r="C179" s="3" t="str">
        <f t="array" ref="C179">IF(ISERROR(INDEX(votes,SMALL(IF(DColumn=District,ROW(DColumn)),ROW(Sheet2!164:164)),3)),"",INDEX(votes,SMALL(IF(DColumn=District,ROW(DColumn)),ROW(Sheet2!164:164)),3))</f>
        <v/>
      </c>
      <c r="D179" s="4" t="str">
        <f t="array" ref="D179">IF(ISERROR(INDEX(votes,SMALL(IF(DColumn=District,ROW(DColumn)),ROW(Sheet2!164:164)),4)),"",INDEX(votes,SMALL(IF(DColumn=District,ROW(DColumn)),ROW(Sheet2!164:164)),4))</f>
        <v/>
      </c>
      <c r="E179" s="19">
        <f t="shared" si="4"/>
        <v>0</v>
      </c>
      <c r="F179">
        <v>0</v>
      </c>
    </row>
    <row r="180" spans="2:6" x14ac:dyDescent="0.3">
      <c r="B180" s="3" t="str">
        <f t="array" ref="B180">IF(ISERROR(INDEX(votes,SMALL(IF(DColumn=District,ROW(DColumn)),ROW(Sheet2!165:165)),2)),"",INDEX(votes,SMALL(IF(DColumn=District,ROW(DColumn)),ROW(Sheet2!165:165)),2))</f>
        <v/>
      </c>
      <c r="C180" s="3" t="str">
        <f t="array" ref="C180">IF(ISERROR(INDEX(votes,SMALL(IF(DColumn=District,ROW(DColumn)),ROW(Sheet2!165:165)),3)),"",INDEX(votes,SMALL(IF(DColumn=District,ROW(DColumn)),ROW(Sheet2!165:165)),3))</f>
        <v/>
      </c>
      <c r="D180" s="4" t="str">
        <f t="array" ref="D180">IF(ISERROR(INDEX(votes,SMALL(IF(DColumn=District,ROW(DColumn)),ROW(Sheet2!165:165)),4)),"",INDEX(votes,SMALL(IF(DColumn=District,ROW(DColumn)),ROW(Sheet2!165:165)),4))</f>
        <v/>
      </c>
      <c r="E180" s="19">
        <f t="shared" si="4"/>
        <v>0</v>
      </c>
      <c r="F180">
        <v>0</v>
      </c>
    </row>
    <row r="181" spans="2:6" x14ac:dyDescent="0.3">
      <c r="B181" s="3" t="str">
        <f t="array" ref="B181">IF(ISERROR(INDEX(votes,SMALL(IF(DColumn=District,ROW(DColumn)),ROW(Sheet2!166:166)),2)),"",INDEX(votes,SMALL(IF(DColumn=District,ROW(DColumn)),ROW(Sheet2!166:166)),2))</f>
        <v/>
      </c>
      <c r="C181" s="3" t="str">
        <f t="array" ref="C181">IF(ISERROR(INDEX(votes,SMALL(IF(DColumn=District,ROW(DColumn)),ROW(Sheet2!166:166)),3)),"",INDEX(votes,SMALL(IF(DColumn=District,ROW(DColumn)),ROW(Sheet2!166:166)),3))</f>
        <v/>
      </c>
      <c r="D181" s="4" t="str">
        <f t="array" ref="D181">IF(ISERROR(INDEX(votes,SMALL(IF(DColumn=District,ROW(DColumn)),ROW(Sheet2!166:166)),4)),"",INDEX(votes,SMALL(IF(DColumn=District,ROW(DColumn)),ROW(Sheet2!166:166)),4))</f>
        <v/>
      </c>
      <c r="E181" s="19">
        <f t="shared" si="4"/>
        <v>0</v>
      </c>
      <c r="F181">
        <v>0</v>
      </c>
    </row>
    <row r="182" spans="2:6" x14ac:dyDescent="0.3">
      <c r="B182" s="3" t="str">
        <f t="array" ref="B182">IF(ISERROR(INDEX(votes,SMALL(IF(DColumn=District,ROW(DColumn)),ROW(Sheet2!167:167)),2)),"",INDEX(votes,SMALL(IF(DColumn=District,ROW(DColumn)),ROW(Sheet2!167:167)),2))</f>
        <v/>
      </c>
      <c r="C182" s="3" t="str">
        <f t="array" ref="C182">IF(ISERROR(INDEX(votes,SMALL(IF(DColumn=District,ROW(DColumn)),ROW(Sheet2!167:167)),3)),"",INDEX(votes,SMALL(IF(DColumn=District,ROW(DColumn)),ROW(Sheet2!167:167)),3))</f>
        <v/>
      </c>
      <c r="D182" s="4" t="str">
        <f t="array" ref="D182">IF(ISERROR(INDEX(votes,SMALL(IF(DColumn=District,ROW(DColumn)),ROW(Sheet2!167:167)),4)),"",INDEX(votes,SMALL(IF(DColumn=District,ROW(DColumn)),ROW(Sheet2!167:167)),4))</f>
        <v/>
      </c>
      <c r="E182" s="19">
        <f t="shared" si="4"/>
        <v>0</v>
      </c>
      <c r="F182">
        <v>0</v>
      </c>
    </row>
    <row r="183" spans="2:6" x14ac:dyDescent="0.3">
      <c r="B183" s="3" t="str">
        <f t="array" ref="B183">IF(ISERROR(INDEX(votes,SMALL(IF(DColumn=District,ROW(DColumn)),ROW(Sheet2!168:168)),2)),"",INDEX(votes,SMALL(IF(DColumn=District,ROW(DColumn)),ROW(Sheet2!168:168)),2))</f>
        <v/>
      </c>
      <c r="C183" s="3" t="str">
        <f t="array" ref="C183">IF(ISERROR(INDEX(votes,SMALL(IF(DColumn=District,ROW(DColumn)),ROW(Sheet2!168:168)),3)),"",INDEX(votes,SMALL(IF(DColumn=District,ROW(DColumn)),ROW(Sheet2!168:168)),3))</f>
        <v/>
      </c>
      <c r="D183" s="4" t="str">
        <f t="array" ref="D183">IF(ISERROR(INDEX(votes,SMALL(IF(DColumn=District,ROW(DColumn)),ROW(Sheet2!168:168)),4)),"",INDEX(votes,SMALL(IF(DColumn=District,ROW(DColumn)),ROW(Sheet2!168:168)),4))</f>
        <v/>
      </c>
      <c r="E183" s="19">
        <f t="shared" si="4"/>
        <v>0</v>
      </c>
      <c r="F183">
        <v>0</v>
      </c>
    </row>
    <row r="184" spans="2:6" x14ac:dyDescent="0.3">
      <c r="B184" s="3" t="str">
        <f t="array" ref="B184">IF(ISERROR(INDEX(votes,SMALL(IF(DColumn=District,ROW(DColumn)),ROW(Sheet2!169:169)),2)),"",INDEX(votes,SMALL(IF(DColumn=District,ROW(DColumn)),ROW(Sheet2!169:169)),2))</f>
        <v/>
      </c>
      <c r="C184" s="3" t="str">
        <f t="array" ref="C184">IF(ISERROR(INDEX(votes,SMALL(IF(DColumn=District,ROW(DColumn)),ROW(Sheet2!169:169)),3)),"",INDEX(votes,SMALL(IF(DColumn=District,ROW(DColumn)),ROW(Sheet2!169:169)),3))</f>
        <v/>
      </c>
      <c r="D184" s="4" t="str">
        <f t="array" ref="D184">IF(ISERROR(INDEX(votes,SMALL(IF(DColumn=District,ROW(DColumn)),ROW(Sheet2!169:169)),4)),"",INDEX(votes,SMALL(IF(DColumn=District,ROW(DColumn)),ROW(Sheet2!169:169)),4))</f>
        <v/>
      </c>
      <c r="E184" s="19">
        <f t="shared" si="4"/>
        <v>0</v>
      </c>
      <c r="F184">
        <v>0</v>
      </c>
    </row>
    <row r="185" spans="2:6" x14ac:dyDescent="0.3">
      <c r="B185" s="3" t="str">
        <f t="array" ref="B185">IF(ISERROR(INDEX(votes,SMALL(IF(DColumn=District,ROW(DColumn)),ROW(Sheet2!170:170)),2)),"",INDEX(votes,SMALL(IF(DColumn=District,ROW(DColumn)),ROW(Sheet2!170:170)),2))</f>
        <v/>
      </c>
      <c r="C185" s="3" t="str">
        <f t="array" ref="C185">IF(ISERROR(INDEX(votes,SMALL(IF(DColumn=District,ROW(DColumn)),ROW(Sheet2!170:170)),3)),"",INDEX(votes,SMALL(IF(DColumn=District,ROW(DColumn)),ROW(Sheet2!170:170)),3))</f>
        <v/>
      </c>
      <c r="D185" s="4" t="str">
        <f t="array" ref="D185">IF(ISERROR(INDEX(votes,SMALL(IF(DColumn=District,ROW(DColumn)),ROW(Sheet2!170:170)),4)),"",INDEX(votes,SMALL(IF(DColumn=District,ROW(DColumn)),ROW(Sheet2!170:170)),4))</f>
        <v/>
      </c>
      <c r="E185" s="19">
        <f t="shared" si="4"/>
        <v>0</v>
      </c>
      <c r="F185">
        <v>0</v>
      </c>
    </row>
    <row r="186" spans="2:6" x14ac:dyDescent="0.3">
      <c r="B186" s="3" t="str">
        <f t="array" ref="B186">IF(ISERROR(INDEX(votes,SMALL(IF(DColumn=District,ROW(DColumn)),ROW(Sheet2!171:171)),2)),"",INDEX(votes,SMALL(IF(DColumn=District,ROW(DColumn)),ROW(Sheet2!171:171)),2))</f>
        <v/>
      </c>
      <c r="C186" s="3" t="str">
        <f t="array" ref="C186">IF(ISERROR(INDEX(votes,SMALL(IF(DColumn=District,ROW(DColumn)),ROW(Sheet2!171:171)),3)),"",INDEX(votes,SMALL(IF(DColumn=District,ROW(DColumn)),ROW(Sheet2!171:171)),3))</f>
        <v/>
      </c>
      <c r="D186" s="4" t="str">
        <f t="array" ref="D186">IF(ISERROR(INDEX(votes,SMALL(IF(DColumn=District,ROW(DColumn)),ROW(Sheet2!171:171)),4)),"",INDEX(votes,SMALL(IF(DColumn=District,ROW(DColumn)),ROW(Sheet2!171:171)),4))</f>
        <v/>
      </c>
      <c r="E186" s="19">
        <f t="shared" si="4"/>
        <v>0</v>
      </c>
      <c r="F186">
        <v>0</v>
      </c>
    </row>
    <row r="187" spans="2:6" x14ac:dyDescent="0.3">
      <c r="B187" s="3" t="str">
        <f t="array" ref="B187">IF(ISERROR(INDEX(votes,SMALL(IF(DColumn=District,ROW(DColumn)),ROW(Sheet2!172:172)),2)),"",INDEX(votes,SMALL(IF(DColumn=District,ROW(DColumn)),ROW(Sheet2!172:172)),2))</f>
        <v/>
      </c>
      <c r="C187" s="3" t="str">
        <f t="array" ref="C187">IF(ISERROR(INDEX(votes,SMALL(IF(DColumn=District,ROW(DColumn)),ROW(Sheet2!172:172)),3)),"",INDEX(votes,SMALL(IF(DColumn=District,ROW(DColumn)),ROW(Sheet2!172:172)),3))</f>
        <v/>
      </c>
      <c r="D187" s="4" t="str">
        <f t="array" ref="D187">IF(ISERROR(INDEX(votes,SMALL(IF(DColumn=District,ROW(DColumn)),ROW(Sheet2!172:172)),4)),"",INDEX(votes,SMALL(IF(DColumn=District,ROW(DColumn)),ROW(Sheet2!172:172)),4))</f>
        <v/>
      </c>
      <c r="E187" s="19">
        <f t="shared" si="4"/>
        <v>0</v>
      </c>
      <c r="F187">
        <v>0</v>
      </c>
    </row>
    <row r="188" spans="2:6" x14ac:dyDescent="0.3">
      <c r="B188" s="3" t="str">
        <f t="array" ref="B188">IF(ISERROR(INDEX(votes,SMALL(IF(DColumn=District,ROW(DColumn)),ROW(Sheet2!173:173)),2)),"",INDEX(votes,SMALL(IF(DColumn=District,ROW(DColumn)),ROW(Sheet2!173:173)),2))</f>
        <v/>
      </c>
      <c r="C188" s="3" t="str">
        <f t="array" ref="C188">IF(ISERROR(INDEX(votes,SMALL(IF(DColumn=District,ROW(DColumn)),ROW(Sheet2!173:173)),3)),"",INDEX(votes,SMALL(IF(DColumn=District,ROW(DColumn)),ROW(Sheet2!173:173)),3))</f>
        <v/>
      </c>
      <c r="D188" s="4" t="str">
        <f t="array" ref="D188">IF(ISERROR(INDEX(votes,SMALL(IF(DColumn=District,ROW(DColumn)),ROW(Sheet2!173:173)),4)),"",INDEX(votes,SMALL(IF(DColumn=District,ROW(DColumn)),ROW(Sheet2!173:173)),4))</f>
        <v/>
      </c>
      <c r="E188" s="19">
        <f t="shared" si="4"/>
        <v>0</v>
      </c>
      <c r="F188">
        <v>0</v>
      </c>
    </row>
    <row r="189" spans="2:6" x14ac:dyDescent="0.3">
      <c r="B189" s="3" t="str">
        <f t="array" ref="B189">IF(ISERROR(INDEX(votes,SMALL(IF(DColumn=District,ROW(DColumn)),ROW(Sheet2!174:174)),2)),"",INDEX(votes,SMALL(IF(DColumn=District,ROW(DColumn)),ROW(Sheet2!174:174)),2))</f>
        <v/>
      </c>
      <c r="C189" s="3" t="str">
        <f t="array" ref="C189">IF(ISERROR(INDEX(votes,SMALL(IF(DColumn=District,ROW(DColumn)),ROW(Sheet2!174:174)),3)),"",INDEX(votes,SMALL(IF(DColumn=District,ROW(DColumn)),ROW(Sheet2!174:174)),3))</f>
        <v/>
      </c>
      <c r="D189" s="4" t="str">
        <f t="array" ref="D189">IF(ISERROR(INDEX(votes,SMALL(IF(DColumn=District,ROW(DColumn)),ROW(Sheet2!174:174)),4)),"",INDEX(votes,SMALL(IF(DColumn=District,ROW(DColumn)),ROW(Sheet2!174:174)),4))</f>
        <v/>
      </c>
      <c r="E189" s="19">
        <f t="shared" si="4"/>
        <v>0</v>
      </c>
      <c r="F189">
        <v>0</v>
      </c>
    </row>
    <row r="190" spans="2:6" x14ac:dyDescent="0.3">
      <c r="B190" s="3" t="str">
        <f t="array" ref="B190">IF(ISERROR(INDEX(votes,SMALL(IF(DColumn=District,ROW(DColumn)),ROW(Sheet2!175:175)),2)),"",INDEX(votes,SMALL(IF(DColumn=District,ROW(DColumn)),ROW(Sheet2!175:175)),2))</f>
        <v/>
      </c>
      <c r="C190" s="3" t="str">
        <f t="array" ref="C190">IF(ISERROR(INDEX(votes,SMALL(IF(DColumn=District,ROW(DColumn)),ROW(Sheet2!175:175)),3)),"",INDEX(votes,SMALL(IF(DColumn=District,ROW(DColumn)),ROW(Sheet2!175:175)),3))</f>
        <v/>
      </c>
      <c r="D190" s="4" t="str">
        <f t="array" ref="D190">IF(ISERROR(INDEX(votes,SMALL(IF(DColumn=District,ROW(DColumn)),ROW(Sheet2!175:175)),4)),"",INDEX(votes,SMALL(IF(DColumn=District,ROW(DColumn)),ROW(Sheet2!175:175)),4))</f>
        <v/>
      </c>
      <c r="E190" s="19">
        <f t="shared" si="4"/>
        <v>0</v>
      </c>
      <c r="F190">
        <v>0</v>
      </c>
    </row>
    <row r="191" spans="2:6" x14ac:dyDescent="0.3">
      <c r="B191" s="3" t="str">
        <f t="array" ref="B191">IF(ISERROR(INDEX(votes,SMALL(IF(DColumn=District,ROW(DColumn)),ROW(Sheet2!176:176)),2)),"",INDEX(votes,SMALL(IF(DColumn=District,ROW(DColumn)),ROW(Sheet2!176:176)),2))</f>
        <v/>
      </c>
      <c r="C191" s="3" t="str">
        <f t="array" ref="C191">IF(ISERROR(INDEX(votes,SMALL(IF(DColumn=District,ROW(DColumn)),ROW(Sheet2!176:176)),3)),"",INDEX(votes,SMALL(IF(DColumn=District,ROW(DColumn)),ROW(Sheet2!176:176)),3))</f>
        <v/>
      </c>
      <c r="D191" s="4" t="str">
        <f t="array" ref="D191">IF(ISERROR(INDEX(votes,SMALL(IF(DColumn=District,ROW(DColumn)),ROW(Sheet2!176:176)),4)),"",INDEX(votes,SMALL(IF(DColumn=District,ROW(DColumn)),ROW(Sheet2!176:176)),4))</f>
        <v/>
      </c>
      <c r="E191" s="19">
        <f t="shared" si="4"/>
        <v>0</v>
      </c>
      <c r="F191">
        <v>0</v>
      </c>
    </row>
    <row r="192" spans="2:6" x14ac:dyDescent="0.3">
      <c r="B192" s="3" t="str">
        <f t="array" ref="B192">IF(ISERROR(INDEX(votes,SMALL(IF(DColumn=District,ROW(DColumn)),ROW(Sheet2!177:177)),2)),"",INDEX(votes,SMALL(IF(DColumn=District,ROW(DColumn)),ROW(Sheet2!177:177)),2))</f>
        <v/>
      </c>
      <c r="C192" s="3" t="str">
        <f t="array" ref="C192">IF(ISERROR(INDEX(votes,SMALL(IF(DColumn=District,ROW(DColumn)),ROW(Sheet2!177:177)),3)),"",INDEX(votes,SMALL(IF(DColumn=District,ROW(DColumn)),ROW(Sheet2!177:177)),3))</f>
        <v/>
      </c>
      <c r="D192" s="4" t="str">
        <f t="array" ref="D192">IF(ISERROR(INDEX(votes,SMALL(IF(DColumn=District,ROW(DColumn)),ROW(Sheet2!177:177)),4)),"",INDEX(votes,SMALL(IF(DColumn=District,ROW(DColumn)),ROW(Sheet2!177:177)),4))</f>
        <v/>
      </c>
      <c r="E192" s="19">
        <f t="shared" si="4"/>
        <v>0</v>
      </c>
      <c r="F192">
        <v>0</v>
      </c>
    </row>
    <row r="193" spans="2:6" x14ac:dyDescent="0.3">
      <c r="B193" s="3" t="str">
        <f t="array" ref="B193">IF(ISERROR(INDEX(votes,SMALL(IF(DColumn=District,ROW(DColumn)),ROW(Sheet2!178:178)),2)),"",INDEX(votes,SMALL(IF(DColumn=District,ROW(DColumn)),ROW(Sheet2!178:178)),2))</f>
        <v/>
      </c>
      <c r="C193" s="3" t="str">
        <f t="array" ref="C193">IF(ISERROR(INDEX(votes,SMALL(IF(DColumn=District,ROW(DColumn)),ROW(Sheet2!178:178)),3)),"",INDEX(votes,SMALL(IF(DColumn=District,ROW(DColumn)),ROW(Sheet2!178:178)),3))</f>
        <v/>
      </c>
      <c r="D193" s="4" t="str">
        <f t="array" ref="D193">IF(ISERROR(INDEX(votes,SMALL(IF(DColumn=District,ROW(DColumn)),ROW(Sheet2!178:178)),4)),"",INDEX(votes,SMALL(IF(DColumn=District,ROW(DColumn)),ROW(Sheet2!178:178)),4))</f>
        <v/>
      </c>
      <c r="E193" s="19">
        <f t="shared" si="4"/>
        <v>0</v>
      </c>
      <c r="F193">
        <v>0</v>
      </c>
    </row>
    <row r="194" spans="2:6" x14ac:dyDescent="0.3">
      <c r="B194" s="3" t="str">
        <f t="array" ref="B194">IF(ISERROR(INDEX(votes,SMALL(IF(DColumn=District,ROW(DColumn)),ROW(Sheet2!179:179)),2)),"",INDEX(votes,SMALL(IF(DColumn=District,ROW(DColumn)),ROW(Sheet2!179:179)),2))</f>
        <v/>
      </c>
      <c r="C194" s="3" t="str">
        <f t="array" ref="C194">IF(ISERROR(INDEX(votes,SMALL(IF(DColumn=District,ROW(DColumn)),ROW(Sheet2!179:179)),3)),"",INDEX(votes,SMALL(IF(DColumn=District,ROW(DColumn)),ROW(Sheet2!179:179)),3))</f>
        <v/>
      </c>
      <c r="D194" s="4" t="str">
        <f t="array" ref="D194">IF(ISERROR(INDEX(votes,SMALL(IF(DColumn=District,ROW(DColumn)),ROW(Sheet2!179:179)),4)),"",INDEX(votes,SMALL(IF(DColumn=District,ROW(DColumn)),ROW(Sheet2!179:179)),4))</f>
        <v/>
      </c>
      <c r="E194" s="19">
        <f t="shared" si="4"/>
        <v>0</v>
      </c>
      <c r="F194">
        <v>0</v>
      </c>
    </row>
    <row r="195" spans="2:6" x14ac:dyDescent="0.3">
      <c r="B195" s="3" t="str">
        <f t="array" ref="B195">IF(ISERROR(INDEX(votes,SMALL(IF(DColumn=District,ROW(DColumn)),ROW(Sheet2!180:180)),2)),"",INDEX(votes,SMALL(IF(DColumn=District,ROW(DColumn)),ROW(Sheet2!180:180)),2))</f>
        <v/>
      </c>
      <c r="C195" s="3" t="str">
        <f t="array" ref="C195">IF(ISERROR(INDEX(votes,SMALL(IF(DColumn=District,ROW(DColumn)),ROW(Sheet2!180:180)),3)),"",INDEX(votes,SMALL(IF(DColumn=District,ROW(DColumn)),ROW(Sheet2!180:180)),3))</f>
        <v/>
      </c>
      <c r="D195" s="4" t="str">
        <f t="array" ref="D195">IF(ISERROR(INDEX(votes,SMALL(IF(DColumn=District,ROW(DColumn)),ROW(Sheet2!180:180)),4)),"",INDEX(votes,SMALL(IF(DColumn=District,ROW(DColumn)),ROW(Sheet2!180:180)),4))</f>
        <v/>
      </c>
      <c r="E195" s="19">
        <f t="shared" si="4"/>
        <v>0</v>
      </c>
      <c r="F195">
        <v>0</v>
      </c>
    </row>
    <row r="196" spans="2:6" x14ac:dyDescent="0.3">
      <c r="B196" s="3" t="str">
        <f t="array" ref="B196">IF(ISERROR(INDEX(votes,SMALL(IF(DColumn=District,ROW(DColumn)),ROW(Sheet2!181:181)),2)),"",INDEX(votes,SMALL(IF(DColumn=District,ROW(DColumn)),ROW(Sheet2!181:181)),2))</f>
        <v/>
      </c>
      <c r="C196" s="3" t="str">
        <f t="array" ref="C196">IF(ISERROR(INDEX(votes,SMALL(IF(DColumn=District,ROW(DColumn)),ROW(Sheet2!181:181)),3)),"",INDEX(votes,SMALL(IF(DColumn=District,ROW(DColumn)),ROW(Sheet2!181:181)),3))</f>
        <v/>
      </c>
      <c r="D196" s="4" t="str">
        <f t="array" ref="D196">IF(ISERROR(INDEX(votes,SMALL(IF(DColumn=District,ROW(DColumn)),ROW(Sheet2!181:181)),4)),"",INDEX(votes,SMALL(IF(DColumn=District,ROW(DColumn)),ROW(Sheet2!181:181)),4))</f>
        <v/>
      </c>
      <c r="E196" s="19">
        <f t="shared" si="4"/>
        <v>0</v>
      </c>
      <c r="F196">
        <v>0</v>
      </c>
    </row>
    <row r="197" spans="2:6" x14ac:dyDescent="0.3">
      <c r="B197" s="3" t="str">
        <f t="array" ref="B197">IF(ISERROR(INDEX(votes,SMALL(IF(DColumn=District,ROW(DColumn)),ROW(Sheet2!182:182)),2)),"",INDEX(votes,SMALL(IF(DColumn=District,ROW(DColumn)),ROW(Sheet2!182:182)),2))</f>
        <v/>
      </c>
      <c r="C197" s="3" t="str">
        <f t="array" ref="C197">IF(ISERROR(INDEX(votes,SMALL(IF(DColumn=District,ROW(DColumn)),ROW(Sheet2!182:182)),3)),"",INDEX(votes,SMALL(IF(DColumn=District,ROW(DColumn)),ROW(Sheet2!182:182)),3))</f>
        <v/>
      </c>
      <c r="D197" s="4" t="str">
        <f t="array" ref="D197">IF(ISERROR(INDEX(votes,SMALL(IF(DColumn=District,ROW(DColumn)),ROW(Sheet2!182:182)),4)),"",INDEX(votes,SMALL(IF(DColumn=District,ROW(DColumn)),ROW(Sheet2!182:182)),4))</f>
        <v/>
      </c>
      <c r="E197" s="19">
        <f t="shared" si="4"/>
        <v>0</v>
      </c>
      <c r="F197">
        <v>0</v>
      </c>
    </row>
    <row r="198" spans="2:6" x14ac:dyDescent="0.3">
      <c r="B198" s="3" t="str">
        <f t="array" ref="B198">IF(ISERROR(INDEX(votes,SMALL(IF(DColumn=District,ROW(DColumn)),ROW(Sheet2!183:183)),2)),"",INDEX(votes,SMALL(IF(DColumn=District,ROW(DColumn)),ROW(Sheet2!183:183)),2))</f>
        <v/>
      </c>
      <c r="C198" s="3" t="str">
        <f t="array" ref="C198">IF(ISERROR(INDEX(votes,SMALL(IF(DColumn=District,ROW(DColumn)),ROW(Sheet2!183:183)),3)),"",INDEX(votes,SMALL(IF(DColumn=District,ROW(DColumn)),ROW(Sheet2!183:183)),3))</f>
        <v/>
      </c>
      <c r="D198" s="4" t="str">
        <f t="array" ref="D198">IF(ISERROR(INDEX(votes,SMALL(IF(DColumn=District,ROW(DColumn)),ROW(Sheet2!183:183)),4)),"",INDEX(votes,SMALL(IF(DColumn=District,ROW(DColumn)),ROW(Sheet2!183:183)),4))</f>
        <v/>
      </c>
      <c r="E198" s="19">
        <f t="shared" si="4"/>
        <v>0</v>
      </c>
      <c r="F198">
        <v>0</v>
      </c>
    </row>
    <row r="199" spans="2:6" x14ac:dyDescent="0.3">
      <c r="B199" s="3" t="str">
        <f t="array" ref="B199">IF(ISERROR(INDEX(votes,SMALL(IF(DColumn=District,ROW(DColumn)),ROW(Sheet2!184:184)),2)),"",INDEX(votes,SMALL(IF(DColumn=District,ROW(DColumn)),ROW(Sheet2!184:184)),2))</f>
        <v/>
      </c>
      <c r="C199" s="3" t="str">
        <f t="array" ref="C199">IF(ISERROR(INDEX(votes,SMALL(IF(DColumn=District,ROW(DColumn)),ROW(Sheet2!184:184)),3)),"",INDEX(votes,SMALL(IF(DColumn=District,ROW(DColumn)),ROW(Sheet2!184:184)),3))</f>
        <v/>
      </c>
      <c r="D199" s="4" t="str">
        <f t="array" ref="D199">IF(ISERROR(INDEX(votes,SMALL(IF(DColumn=District,ROW(DColumn)),ROW(Sheet2!184:184)),4)),"",INDEX(votes,SMALL(IF(DColumn=District,ROW(DColumn)),ROW(Sheet2!184:184)),4))</f>
        <v/>
      </c>
      <c r="E199" s="19">
        <f t="shared" si="4"/>
        <v>0</v>
      </c>
      <c r="F199">
        <v>0</v>
      </c>
    </row>
    <row r="200" spans="2:6" x14ac:dyDescent="0.3">
      <c r="B200" s="3" t="str">
        <f t="array" ref="B200">IF(ISERROR(INDEX(votes,SMALL(IF(DColumn=District,ROW(DColumn)),ROW(Sheet2!185:185)),2)),"",INDEX(votes,SMALL(IF(DColumn=District,ROW(DColumn)),ROW(Sheet2!185:185)),2))</f>
        <v/>
      </c>
      <c r="C200" s="3" t="str">
        <f t="array" ref="C200">IF(ISERROR(INDEX(votes,SMALL(IF(DColumn=District,ROW(DColumn)),ROW(Sheet2!185:185)),3)),"",INDEX(votes,SMALL(IF(DColumn=District,ROW(DColumn)),ROW(Sheet2!185:185)),3))</f>
        <v/>
      </c>
      <c r="D200" s="4" t="str">
        <f t="array" ref="D200">IF(ISERROR(INDEX(votes,SMALL(IF(DColumn=District,ROW(DColumn)),ROW(Sheet2!185:185)),4)),"",INDEX(votes,SMALL(IF(DColumn=District,ROW(DColumn)),ROW(Sheet2!185:185)),4))</f>
        <v/>
      </c>
      <c r="E200" s="19">
        <f t="shared" si="4"/>
        <v>0</v>
      </c>
      <c r="F200">
        <v>0</v>
      </c>
    </row>
    <row r="201" spans="2:6" x14ac:dyDescent="0.3">
      <c r="B201" s="3" t="str">
        <f t="array" ref="B201">IF(ISERROR(INDEX(votes,SMALL(IF(DColumn=District,ROW(DColumn)),ROW(Sheet2!186:186)),2)),"",INDEX(votes,SMALL(IF(DColumn=District,ROW(DColumn)),ROW(Sheet2!186:186)),2))</f>
        <v/>
      </c>
      <c r="C201" s="3" t="str">
        <f t="array" ref="C201">IF(ISERROR(INDEX(votes,SMALL(IF(DColumn=District,ROW(DColumn)),ROW(Sheet2!186:186)),3)),"",INDEX(votes,SMALL(IF(DColumn=District,ROW(DColumn)),ROW(Sheet2!186:186)),3))</f>
        <v/>
      </c>
      <c r="D201" s="4" t="str">
        <f t="array" ref="D201">IF(ISERROR(INDEX(votes,SMALL(IF(DColumn=District,ROW(DColumn)),ROW(Sheet2!186:186)),4)),"",INDEX(votes,SMALL(IF(DColumn=District,ROW(DColumn)),ROW(Sheet2!186:186)),4))</f>
        <v/>
      </c>
      <c r="E201" s="19">
        <f t="shared" si="4"/>
        <v>0</v>
      </c>
      <c r="F201">
        <v>0</v>
      </c>
    </row>
    <row r="202" spans="2:6" x14ac:dyDescent="0.3">
      <c r="B202" s="3" t="str">
        <f t="array" ref="B202">IF(ISERROR(INDEX(votes,SMALL(IF(DColumn=District,ROW(DColumn)),ROW(Sheet2!187:187)),2)),"",INDEX(votes,SMALL(IF(DColumn=District,ROW(DColumn)),ROW(Sheet2!187:187)),2))</f>
        <v/>
      </c>
      <c r="C202" s="3" t="str">
        <f t="array" ref="C202">IF(ISERROR(INDEX(votes,SMALL(IF(DColumn=District,ROW(DColumn)),ROW(Sheet2!187:187)),3)),"",INDEX(votes,SMALL(IF(DColumn=District,ROW(DColumn)),ROW(Sheet2!187:187)),3))</f>
        <v/>
      </c>
      <c r="D202" s="4" t="str">
        <f t="array" ref="D202">IF(ISERROR(INDEX(votes,SMALL(IF(DColumn=District,ROW(DColumn)),ROW(Sheet2!187:187)),4)),"",INDEX(votes,SMALL(IF(DColumn=District,ROW(DColumn)),ROW(Sheet2!187:187)),4))</f>
        <v/>
      </c>
      <c r="E202" s="19">
        <f t="shared" si="4"/>
        <v>0</v>
      </c>
      <c r="F202">
        <v>0</v>
      </c>
    </row>
    <row r="203" spans="2:6" x14ac:dyDescent="0.3">
      <c r="B203" s="3" t="str">
        <f t="array" ref="B203">IF(ISERROR(INDEX(votes,SMALL(IF(DColumn=District,ROW(DColumn)),ROW(Sheet2!188:188)),2)),"",INDEX(votes,SMALL(IF(DColumn=District,ROW(DColumn)),ROW(Sheet2!188:188)),2))</f>
        <v/>
      </c>
      <c r="C203" s="3" t="str">
        <f>IF(ISERROR(INDEX(votes,SMALL(IF(DColumn=District,ROW(DColumn)),ROW(Sheet2!188:188)),3)),"",INDEX(votes,SMALL(IF(DColumn=District,ROW(DColumn)),ROW(Sheet2!188:188)),3))</f>
        <v/>
      </c>
      <c r="D203" s="4" t="str">
        <f t="array" ref="D203">IF(ISERROR(INDEX(votes,SMALL(IF(DColumn=District,ROW(DColumn)),ROW(Sheet2!188:188)),4)),"",INDEX(votes,SMALL(IF(DColumn=District,ROW(DColumn)),ROW(Sheet2!188:188)),4))</f>
        <v/>
      </c>
      <c r="E203" s="19">
        <f t="shared" si="4"/>
        <v>0</v>
      </c>
      <c r="F203">
        <v>0</v>
      </c>
    </row>
    <row r="204" spans="2:6" x14ac:dyDescent="0.3">
      <c r="B204" s="3" t="str">
        <f t="array" ref="B204">IF(ISERROR(INDEX(votes,SMALL(IF(DColumn=District,ROW(DColumn)),ROW(Sheet2!189:189)),2)),"",INDEX(votes,SMALL(IF(DColumn=District,ROW(DColumn)),ROW(Sheet2!189:189)),2))</f>
        <v/>
      </c>
      <c r="C204" s="3" t="str">
        <f>IF(ISERROR(INDEX(votes,SMALL(IF(DColumn=District,ROW(DColumn)),ROW(Sheet2!189:189)),3)),"",INDEX(votes,SMALL(IF(DColumn=District,ROW(DColumn)),ROW(Sheet2!189:189)),3))</f>
        <v/>
      </c>
      <c r="D204" s="4" t="str">
        <f t="array" ref="D204">IF(ISERROR(INDEX(votes,SMALL(IF(DColumn=District,ROW(DColumn)),ROW(Sheet2!189:189)),4)),"",INDEX(votes,SMALL(IF(DColumn=District,ROW(DColumn)),ROW(Sheet2!189:189)),4))</f>
        <v/>
      </c>
      <c r="E204" s="19">
        <f t="shared" si="4"/>
        <v>0</v>
      </c>
      <c r="F204">
        <v>0</v>
      </c>
    </row>
    <row r="205" spans="2:6" x14ac:dyDescent="0.3">
      <c r="B205" s="3" t="str">
        <f t="array" ref="B205">IF(ISERROR(INDEX(votes,SMALL(IF(DColumn=District,ROW(DColumn)),ROW(Sheet2!190:190)),2)),"",INDEX(votes,SMALL(IF(DColumn=District,ROW(DColumn)),ROW(Sheet2!190:190)),2))</f>
        <v/>
      </c>
      <c r="C205" s="3" t="str">
        <f>IF(ISERROR(INDEX(votes,SMALL(IF(DColumn=District,ROW(DColumn)),ROW(Sheet2!190:190)),3)),"",INDEX(votes,SMALL(IF(DColumn=District,ROW(DColumn)),ROW(Sheet2!190:190)),3))</f>
        <v/>
      </c>
      <c r="D205" s="4" t="str">
        <f t="array" ref="D205">IF(ISERROR(INDEX(votes,SMALL(IF(DColumn=District,ROW(DColumn)),ROW(Sheet2!190:190)),4)),"",INDEX(votes,SMALL(IF(DColumn=District,ROW(DColumn)),ROW(Sheet2!190:190)),4))</f>
        <v/>
      </c>
      <c r="E205" s="19">
        <f t="shared" si="4"/>
        <v>0</v>
      </c>
      <c r="F205">
        <v>0</v>
      </c>
    </row>
    <row r="206" spans="2:6" x14ac:dyDescent="0.3">
      <c r="B206" s="3" t="str">
        <f t="array" ref="B206">IF(ISERROR(INDEX(votes,SMALL(IF(DColumn=District,ROW(DColumn)),ROW(Sheet2!191:191)),2)),"",INDEX(votes,SMALL(IF(DColumn=District,ROW(DColumn)),ROW(Sheet2!191:191)),2))</f>
        <v/>
      </c>
      <c r="C206" s="3" t="str">
        <f>IF(ISERROR(INDEX(votes,SMALL(IF(DColumn=District,ROW(DColumn)),ROW(Sheet2!191:191)),3)),"",INDEX(votes,SMALL(IF(DColumn=District,ROW(DColumn)),ROW(Sheet2!191:191)),3))</f>
        <v/>
      </c>
      <c r="D206" s="4" t="str">
        <f t="array" ref="D206">IF(ISERROR(INDEX(votes,SMALL(IF(DColumn=District,ROW(DColumn)),ROW(Sheet2!191:191)),4)),"",INDEX(votes,SMALL(IF(DColumn=District,ROW(DColumn)),ROW(Sheet2!191:191)),4))</f>
        <v/>
      </c>
      <c r="E206" s="19">
        <f t="shared" si="4"/>
        <v>0</v>
      </c>
      <c r="F206">
        <v>0</v>
      </c>
    </row>
    <row r="207" spans="2:6" x14ac:dyDescent="0.3">
      <c r="B207" s="3" t="str">
        <f t="array" ref="B207">IF(ISERROR(INDEX(votes,SMALL(IF(DColumn=District,ROW(DColumn)),ROW(Sheet2!192:192)),2)),"",INDEX(votes,SMALL(IF(DColumn=District,ROW(DColumn)),ROW(Sheet2!192:192)),2))</f>
        <v/>
      </c>
      <c r="C207" s="3" t="str">
        <f>IF(ISERROR(INDEX(votes,SMALL(IF(DColumn=District,ROW(DColumn)),ROW(Sheet2!192:192)),3)),"",INDEX(votes,SMALL(IF(DColumn=District,ROW(DColumn)),ROW(Sheet2!192:192)),3))</f>
        <v/>
      </c>
      <c r="D207" s="4" t="str">
        <f t="array" ref="D207">IF(ISERROR(INDEX(votes,SMALL(IF(DColumn=District,ROW(DColumn)),ROW(Sheet2!192:192)),4)),"",INDEX(votes,SMALL(IF(DColumn=District,ROW(DColumn)),ROW(Sheet2!192:192)),4))</f>
        <v/>
      </c>
      <c r="E207" s="19">
        <f t="shared" si="4"/>
        <v>0</v>
      </c>
      <c r="F207">
        <v>0</v>
      </c>
    </row>
    <row r="208" spans="2:6" x14ac:dyDescent="0.3">
      <c r="B208" s="3" t="str">
        <f t="array" ref="B208">IF(ISERROR(INDEX(votes,SMALL(IF(DColumn=District,ROW(DColumn)),ROW(Sheet2!193:193)),2)),"",INDEX(votes,SMALL(IF(DColumn=District,ROW(DColumn)),ROW(Sheet2!193:193)),2))</f>
        <v/>
      </c>
      <c r="C208" s="3" t="str">
        <f>IF(ISERROR(INDEX(votes,SMALL(IF(DColumn=District,ROW(DColumn)),ROW(Sheet2!193:193)),3)),"",INDEX(votes,SMALL(IF(DColumn=District,ROW(DColumn)),ROW(Sheet2!193:193)),3))</f>
        <v/>
      </c>
      <c r="D208" s="4" t="str">
        <f t="array" ref="D208">IF(ISERROR(INDEX(votes,SMALL(IF(DColumn=District,ROW(DColumn)),ROW(Sheet2!193:193)),4)),"",INDEX(votes,SMALL(IF(DColumn=District,ROW(DColumn)),ROW(Sheet2!193:193)),4))</f>
        <v/>
      </c>
      <c r="E208" s="19">
        <f>IFERROR(IF(F208=0,0,IF(ISBLANK(F208),D208/2,D208/F208)),"")</f>
        <v>0</v>
      </c>
      <c r="F208">
        <v>0</v>
      </c>
    </row>
    <row r="209" spans="2:6" x14ac:dyDescent="0.3">
      <c r="B209" s="2"/>
      <c r="C209" s="3" t="str">
        <f>IF(ISERROR(INDEX(votes,SMALL(IF(DColumn=District,ROW(DColumn)),ROW(Sheet2!194:194)),3)),"",INDEX(votes,SMALL(IF(DColumn=District,ROW(DColumn)),ROW(Sheet2!194:194)),3))</f>
        <v/>
      </c>
      <c r="D209" s="4" t="str">
        <f t="array" ref="D209">IF(ISERROR(INDEX(votes,SMALL(IF(DColumn=District,ROW(DColumn)),ROW(Sheet2!194:194)),4)),"",INDEX(votes,SMALL(IF(DColumn=District,ROW(DColumn)),ROW(Sheet2!194:194)),4))</f>
        <v/>
      </c>
      <c r="E209" s="19">
        <f>IFERROR(IF(F209=0,0,IF(ISBLANK(F209),D209/2,D209/F209)),"")</f>
        <v>0</v>
      </c>
      <c r="F209">
        <v>0</v>
      </c>
    </row>
    <row r="210" spans="2:6" x14ac:dyDescent="0.3">
      <c r="B210" s="2"/>
      <c r="C210" s="3" t="str">
        <f>IF(ISERROR(INDEX(votes,SMALL(IF(DColumn=District,ROW(DColumn)),ROW(Sheet2!195:195)),3)),"",INDEX(votes,SMALL(IF(DColumn=District,ROW(DColumn)),ROW(Sheet2!195:195)),3))</f>
        <v/>
      </c>
      <c r="D210" s="4" t="str">
        <f t="array" ref="D210">IF(ISERROR(INDEX(votes,SMALL(IF(DColumn=District,ROW(DColumn)),ROW(Sheet2!195:195)),4)),"",INDEX(votes,SMALL(IF(DColumn=District,ROW(DColumn)),ROW(Sheet2!195:195)),4))</f>
        <v/>
      </c>
      <c r="E210" s="19">
        <f>IFERROR(IF(F210=0,0,IF(ISBLANK(F210),D210/2,D210/F210)),"")</f>
        <v>0</v>
      </c>
      <c r="F210">
        <v>0</v>
      </c>
    </row>
    <row r="211" spans="2:6" x14ac:dyDescent="0.3">
      <c r="B211" s="2" t="str">
        <f t="array" ref="B211">IF(ISERROR(INDEX(votes,SMALL(IF(DColumn=District,ROW(DColumn)),ROW(Sheet2!197:197)),2)),"",INDEX(votes,SMALL(IF(DColumn=District,ROW(DColumn)),ROW(Sheet2!197:197)),2))</f>
        <v/>
      </c>
      <c r="C211" s="2" t="str">
        <f>IF(ISERROR(INDEX(votes,SMALL(IF(DColumn=District,ROW(DColumn)),ROW(Sheet2!197:197)),2)),"",INDEX(votes,SMALL(IF(DColumn=District,ROW(DColumn)),ROW(Sheet2!197:197)),2))</f>
        <v/>
      </c>
      <c r="D211" s="4" t="str">
        <f t="array" ref="D211">IF(ISERROR(INDEX(votes,SMALL(IF(DColumn=District,ROW(DColumn)),ROW(Sheet2!196:196)),4)),"",INDEX(votes,SMALL(IF(DColumn=District,ROW(DColumn)),ROW(Sheet2!196:196)),4))</f>
        <v/>
      </c>
      <c r="E211" s="19">
        <f>IFERROR(IF(F211=0,0,IF(ISBLANK(F211),D211/2,D211/F211)),"")</f>
        <v>0</v>
      </c>
      <c r="F211">
        <v>0</v>
      </c>
    </row>
    <row r="212" spans="2:6" x14ac:dyDescent="0.3">
      <c r="E212" s="20"/>
    </row>
    <row r="213" spans="2:6" x14ac:dyDescent="0.3">
      <c r="E213" s="20"/>
    </row>
    <row r="214" spans="2:6" x14ac:dyDescent="0.3">
      <c r="E214" s="20"/>
    </row>
    <row r="215" spans="2:6" x14ac:dyDescent="0.3">
      <c r="E215" s="20"/>
    </row>
    <row r="216" spans="2:6" x14ac:dyDescent="0.3">
      <c r="E216" s="20"/>
    </row>
    <row r="217" spans="2:6" x14ac:dyDescent="0.3">
      <c r="E217" s="20"/>
    </row>
    <row r="218" spans="2:6" x14ac:dyDescent="0.3">
      <c r="E218" s="20"/>
    </row>
    <row r="219" spans="2:6" x14ac:dyDescent="0.3">
      <c r="E219" s="20"/>
    </row>
    <row r="220" spans="2:6" x14ac:dyDescent="0.3">
      <c r="E220" s="20"/>
    </row>
    <row r="221" spans="2:6" x14ac:dyDescent="0.3">
      <c r="E221" s="20"/>
    </row>
    <row r="222" spans="2:6" x14ac:dyDescent="0.3">
      <c r="E222" s="20"/>
    </row>
    <row r="223" spans="2:6" x14ac:dyDescent="0.3">
      <c r="E223" s="20"/>
    </row>
    <row r="224" spans="2:6" x14ac:dyDescent="0.3">
      <c r="E224" s="20"/>
    </row>
    <row r="225" spans="2:6" x14ac:dyDescent="0.3">
      <c r="E225" s="20"/>
    </row>
    <row r="226" spans="2:6" x14ac:dyDescent="0.3">
      <c r="B226" s="5" t="s">
        <v>2</v>
      </c>
      <c r="C226" s="6">
        <f>SUM(C16:C31)</f>
        <v>8948</v>
      </c>
      <c r="D226" s="7">
        <f>SUM(D16:D31)</f>
        <v>93</v>
      </c>
      <c r="E226" s="8"/>
      <c r="F226" s="9">
        <f>SUM(F16:F31)</f>
        <v>0</v>
      </c>
    </row>
  </sheetData>
  <mergeCells count="8">
    <mergeCell ref="A1:J3"/>
    <mergeCell ref="B5:C6"/>
    <mergeCell ref="B9:C10"/>
    <mergeCell ref="B11:E12"/>
    <mergeCell ref="A5:A6"/>
    <mergeCell ref="A8:A9"/>
    <mergeCell ref="H5:I5"/>
    <mergeCell ref="H6:I7"/>
  </mergeCells>
  <dataValidations count="2">
    <dataValidation allowBlank="1" showInputMessage="1" showErrorMessage="1" errorTitle="Number must be between 0-2" error="PoO 3.01 states &quot;The chair and first vice chair (or elected designee, see Section 3.07) of each county in the congressional district shall serve as voting representatives of their county;&quot;" sqref="F226"/>
    <dataValidation type="list" allowBlank="1" showInputMessage="1" showErrorMessage="1" sqref="H13">
      <formula1>"Chair, 1st VC, 2nd VC, 3rd VC, Sec, Treasurer, Motion, Other"</formula1>
    </dataValidation>
  </dataValidations>
  <printOptions horizontalCentered="1"/>
  <pageMargins left="0.1" right="0.1" top="0.25" bottom="0.2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Button8_Click">
                <anchor moveWithCells="1" sizeWithCells="1">
                  <from>
                    <xdr:col>7</xdr:col>
                    <xdr:colOff>7620</xdr:colOff>
                    <xdr:row>13</xdr:row>
                    <xdr:rowOff>182880</xdr:rowOff>
                  </from>
                  <to>
                    <xdr:col>8</xdr:col>
                    <xdr:colOff>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Sheet2!$G$2:$G$101</xm:f>
          </x14:formula1>
          <xm:sqref>H6:I7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G2705"/>
  <sheetViews>
    <sheetView topLeftCell="A2044" workbookViewId="0">
      <selection activeCell="B2051" sqref="B2051"/>
    </sheetView>
  </sheetViews>
  <sheetFormatPr defaultRowHeight="14.4" x14ac:dyDescent="0.3"/>
  <cols>
    <col min="1" max="1" width="36.109375" customWidth="1"/>
  </cols>
  <sheetData>
    <row r="1" spans="1:7" x14ac:dyDescent="0.3">
      <c r="A1" t="s">
        <v>0</v>
      </c>
      <c r="B1" t="s">
        <v>2678</v>
      </c>
      <c r="C1" t="s">
        <v>105</v>
      </c>
      <c r="D1" t="s">
        <v>1</v>
      </c>
    </row>
    <row r="2" spans="1:7" ht="43.2" x14ac:dyDescent="0.3">
      <c r="A2" s="12" t="s">
        <v>5</v>
      </c>
      <c r="B2" s="12" t="s">
        <v>106</v>
      </c>
      <c r="C2" s="12">
        <v>523</v>
      </c>
      <c r="D2" s="12">
        <v>5</v>
      </c>
      <c r="G2" s="12" t="s">
        <v>5</v>
      </c>
    </row>
    <row r="3" spans="1:7" ht="28.8" x14ac:dyDescent="0.3">
      <c r="A3" s="12" t="s">
        <v>5</v>
      </c>
      <c r="B3" s="12" t="s">
        <v>107</v>
      </c>
      <c r="C3" s="12">
        <v>1060</v>
      </c>
      <c r="D3" s="12">
        <v>11</v>
      </c>
      <c r="G3" s="12" t="s">
        <v>6</v>
      </c>
    </row>
    <row r="4" spans="1:7" ht="43.2" x14ac:dyDescent="0.3">
      <c r="A4" s="12" t="s">
        <v>5</v>
      </c>
      <c r="B4" s="12" t="s">
        <v>108</v>
      </c>
      <c r="C4" s="12">
        <v>659</v>
      </c>
      <c r="D4" s="12">
        <v>7</v>
      </c>
      <c r="G4" s="12" t="s">
        <v>7</v>
      </c>
    </row>
    <row r="5" spans="1:7" ht="43.2" x14ac:dyDescent="0.3">
      <c r="A5" s="12" t="s">
        <v>5</v>
      </c>
      <c r="B5" s="12" t="s">
        <v>109</v>
      </c>
      <c r="C5" s="12">
        <v>601</v>
      </c>
      <c r="D5" s="12">
        <v>6</v>
      </c>
      <c r="G5" s="12" t="s">
        <v>8</v>
      </c>
    </row>
    <row r="6" spans="1:7" ht="43.2" x14ac:dyDescent="0.3">
      <c r="A6" s="12" t="s">
        <v>5</v>
      </c>
      <c r="B6" s="12" t="s">
        <v>110</v>
      </c>
      <c r="C6" s="12">
        <v>583</v>
      </c>
      <c r="D6" s="12">
        <v>6</v>
      </c>
      <c r="G6" s="12" t="s">
        <v>9</v>
      </c>
    </row>
    <row r="7" spans="1:7" ht="43.2" x14ac:dyDescent="0.3">
      <c r="A7" s="12" t="s">
        <v>5</v>
      </c>
      <c r="B7" s="12" t="s">
        <v>111</v>
      </c>
      <c r="C7" s="12">
        <v>617</v>
      </c>
      <c r="D7" s="12">
        <v>6</v>
      </c>
      <c r="G7" s="12" t="s">
        <v>10</v>
      </c>
    </row>
    <row r="8" spans="1:7" ht="43.2" x14ac:dyDescent="0.3">
      <c r="A8" s="12" t="s">
        <v>5</v>
      </c>
      <c r="B8" s="12" t="s">
        <v>112</v>
      </c>
      <c r="C8" s="12">
        <v>1856</v>
      </c>
      <c r="D8" s="12">
        <v>19</v>
      </c>
      <c r="G8" s="12" t="s">
        <v>11</v>
      </c>
    </row>
    <row r="9" spans="1:7" ht="43.2" x14ac:dyDescent="0.3">
      <c r="A9" s="12" t="s">
        <v>5</v>
      </c>
      <c r="B9" s="12" t="s">
        <v>113</v>
      </c>
      <c r="C9" s="12">
        <v>796</v>
      </c>
      <c r="D9" s="12">
        <v>8</v>
      </c>
      <c r="G9" s="12" t="s">
        <v>12</v>
      </c>
    </row>
    <row r="10" spans="1:7" ht="43.2" x14ac:dyDescent="0.3">
      <c r="A10" s="12" t="s">
        <v>5</v>
      </c>
      <c r="B10" s="12" t="s">
        <v>114</v>
      </c>
      <c r="C10" s="12">
        <v>425</v>
      </c>
      <c r="D10" s="12">
        <v>4</v>
      </c>
      <c r="G10" s="12" t="s">
        <v>13</v>
      </c>
    </row>
    <row r="11" spans="1:7" ht="43.2" x14ac:dyDescent="0.3">
      <c r="A11" s="12" t="s">
        <v>5</v>
      </c>
      <c r="B11" s="12" t="s">
        <v>115</v>
      </c>
      <c r="C11" s="12">
        <v>748</v>
      </c>
      <c r="D11" s="12">
        <v>7</v>
      </c>
      <c r="G11" s="12" t="s">
        <v>14</v>
      </c>
    </row>
    <row r="12" spans="1:7" ht="28.8" x14ac:dyDescent="0.3">
      <c r="A12" s="12" t="s">
        <v>5</v>
      </c>
      <c r="B12" s="12" t="s">
        <v>116</v>
      </c>
      <c r="C12" s="12">
        <v>497</v>
      </c>
      <c r="D12" s="12">
        <v>5</v>
      </c>
      <c r="G12" s="12" t="s">
        <v>15</v>
      </c>
    </row>
    <row r="13" spans="1:7" ht="43.2" x14ac:dyDescent="0.3">
      <c r="A13" s="12" t="s">
        <v>5</v>
      </c>
      <c r="B13" s="12" t="s">
        <v>117</v>
      </c>
      <c r="C13" s="12">
        <v>572</v>
      </c>
      <c r="D13" s="12">
        <v>6</v>
      </c>
      <c r="G13" s="12" t="s">
        <v>16</v>
      </c>
    </row>
    <row r="14" spans="1:7" ht="28.8" x14ac:dyDescent="0.3">
      <c r="A14" s="12" t="s">
        <v>5</v>
      </c>
      <c r="B14" s="12" t="s">
        <v>118</v>
      </c>
      <c r="C14" s="12">
        <v>780</v>
      </c>
      <c r="D14" s="12">
        <v>8</v>
      </c>
      <c r="G14" s="12" t="s">
        <v>17</v>
      </c>
    </row>
    <row r="15" spans="1:7" ht="43.2" x14ac:dyDescent="0.3">
      <c r="A15" s="12" t="s">
        <v>5</v>
      </c>
      <c r="B15" s="12" t="s">
        <v>119</v>
      </c>
      <c r="C15" s="12">
        <v>421</v>
      </c>
      <c r="D15" s="12">
        <v>4</v>
      </c>
      <c r="G15" s="12" t="s">
        <v>18</v>
      </c>
    </row>
    <row r="16" spans="1:7" ht="43.2" x14ac:dyDescent="0.3">
      <c r="A16" s="12" t="s">
        <v>5</v>
      </c>
      <c r="B16" s="12" t="s">
        <v>120</v>
      </c>
      <c r="C16" s="12">
        <v>980</v>
      </c>
      <c r="D16" s="12">
        <v>10</v>
      </c>
      <c r="G16" s="12" t="s">
        <v>19</v>
      </c>
    </row>
    <row r="17" spans="1:7" ht="43.2" x14ac:dyDescent="0.3">
      <c r="A17" s="12" t="s">
        <v>5</v>
      </c>
      <c r="B17" s="12" t="s">
        <v>121</v>
      </c>
      <c r="C17" s="12">
        <v>1193</v>
      </c>
      <c r="D17" s="12">
        <v>12</v>
      </c>
      <c r="G17" s="12" t="s">
        <v>20</v>
      </c>
    </row>
    <row r="18" spans="1:7" ht="28.8" x14ac:dyDescent="0.3">
      <c r="A18" s="12" t="s">
        <v>5</v>
      </c>
      <c r="B18" s="12" t="s">
        <v>122</v>
      </c>
      <c r="C18" s="12">
        <v>1095</v>
      </c>
      <c r="D18" s="12">
        <v>11</v>
      </c>
      <c r="G18" s="12" t="s">
        <v>21</v>
      </c>
    </row>
    <row r="19" spans="1:7" ht="43.2" x14ac:dyDescent="0.3">
      <c r="A19" s="12" t="s">
        <v>5</v>
      </c>
      <c r="B19" s="12" t="s">
        <v>123</v>
      </c>
      <c r="C19" s="12">
        <v>681</v>
      </c>
      <c r="D19" s="12">
        <v>7</v>
      </c>
      <c r="G19" s="12" t="s">
        <v>22</v>
      </c>
    </row>
    <row r="20" spans="1:7" ht="28.8" x14ac:dyDescent="0.3">
      <c r="A20" s="12" t="s">
        <v>5</v>
      </c>
      <c r="B20" s="12" t="s">
        <v>124</v>
      </c>
      <c r="C20" s="12">
        <v>689</v>
      </c>
      <c r="D20" s="12">
        <v>7</v>
      </c>
      <c r="G20" s="12" t="s">
        <v>23</v>
      </c>
    </row>
    <row r="21" spans="1:7" ht="28.8" x14ac:dyDescent="0.3">
      <c r="A21" s="12" t="s">
        <v>5</v>
      </c>
      <c r="B21" s="12" t="s">
        <v>125</v>
      </c>
      <c r="C21" s="12">
        <v>1101</v>
      </c>
      <c r="D21" s="12">
        <v>11</v>
      </c>
      <c r="G21" s="12" t="s">
        <v>24</v>
      </c>
    </row>
    <row r="22" spans="1:7" ht="28.8" x14ac:dyDescent="0.3">
      <c r="A22" s="12" t="s">
        <v>5</v>
      </c>
      <c r="B22" s="12" t="s">
        <v>126</v>
      </c>
      <c r="C22" s="12">
        <v>296</v>
      </c>
      <c r="D22" s="12">
        <v>3</v>
      </c>
      <c r="G22" s="12" t="s">
        <v>25</v>
      </c>
    </row>
    <row r="23" spans="1:7" ht="43.2" x14ac:dyDescent="0.3">
      <c r="A23" s="12" t="s">
        <v>5</v>
      </c>
      <c r="B23" s="12" t="s">
        <v>127</v>
      </c>
      <c r="C23" s="12">
        <v>1746</v>
      </c>
      <c r="D23" s="12">
        <v>17</v>
      </c>
      <c r="G23" s="12" t="s">
        <v>26</v>
      </c>
    </row>
    <row r="24" spans="1:7" ht="28.8" x14ac:dyDescent="0.3">
      <c r="A24" s="12" t="s">
        <v>5</v>
      </c>
      <c r="B24" s="12" t="s">
        <v>128</v>
      </c>
      <c r="C24" s="12">
        <v>853</v>
      </c>
      <c r="D24" s="12">
        <v>9</v>
      </c>
      <c r="G24" s="12" t="s">
        <v>27</v>
      </c>
    </row>
    <row r="25" spans="1:7" ht="43.2" x14ac:dyDescent="0.3">
      <c r="A25" s="12" t="s">
        <v>5</v>
      </c>
      <c r="B25" s="12" t="s">
        <v>129</v>
      </c>
      <c r="C25" s="12">
        <v>1038</v>
      </c>
      <c r="D25" s="12">
        <v>10</v>
      </c>
      <c r="G25" s="12" t="s">
        <v>28</v>
      </c>
    </row>
    <row r="26" spans="1:7" ht="28.8" x14ac:dyDescent="0.3">
      <c r="A26" s="12" t="s">
        <v>5</v>
      </c>
      <c r="B26" s="12" t="s">
        <v>130</v>
      </c>
      <c r="C26" s="12">
        <v>719</v>
      </c>
      <c r="D26" s="12">
        <v>7</v>
      </c>
      <c r="G26" s="12" t="s">
        <v>29</v>
      </c>
    </row>
    <row r="27" spans="1:7" ht="43.2" x14ac:dyDescent="0.3">
      <c r="A27" s="12" t="s">
        <v>5</v>
      </c>
      <c r="B27" s="12" t="s">
        <v>131</v>
      </c>
      <c r="C27" s="12">
        <v>619</v>
      </c>
      <c r="D27" s="12">
        <v>6</v>
      </c>
      <c r="G27" s="12" t="s">
        <v>30</v>
      </c>
    </row>
    <row r="28" spans="1:7" ht="43.2" x14ac:dyDescent="0.3">
      <c r="A28" s="12" t="s">
        <v>5</v>
      </c>
      <c r="B28" s="12" t="s">
        <v>132</v>
      </c>
      <c r="C28" s="12">
        <v>499</v>
      </c>
      <c r="D28" s="12">
        <v>5</v>
      </c>
      <c r="G28" s="12" t="s">
        <v>31</v>
      </c>
    </row>
    <row r="29" spans="1:7" ht="43.2" x14ac:dyDescent="0.3">
      <c r="A29" s="12" t="s">
        <v>5</v>
      </c>
      <c r="B29" s="12" t="s">
        <v>133</v>
      </c>
      <c r="C29" s="12">
        <v>1174</v>
      </c>
      <c r="D29" s="12">
        <v>12</v>
      </c>
      <c r="G29" s="12" t="s">
        <v>32</v>
      </c>
    </row>
    <row r="30" spans="1:7" ht="28.8" x14ac:dyDescent="0.3">
      <c r="A30" s="12" t="s">
        <v>5</v>
      </c>
      <c r="B30" s="12" t="s">
        <v>134</v>
      </c>
      <c r="C30" s="12">
        <v>1909</v>
      </c>
      <c r="D30" s="12">
        <v>19</v>
      </c>
      <c r="G30" s="12" t="s">
        <v>33</v>
      </c>
    </row>
    <row r="31" spans="1:7" ht="43.2" x14ac:dyDescent="0.3">
      <c r="A31" s="12" t="s">
        <v>5</v>
      </c>
      <c r="B31" s="12" t="s">
        <v>135</v>
      </c>
      <c r="C31" s="12">
        <v>497</v>
      </c>
      <c r="D31" s="12">
        <v>5</v>
      </c>
      <c r="G31" s="12" t="s">
        <v>34</v>
      </c>
    </row>
    <row r="32" spans="1:7" ht="28.8" x14ac:dyDescent="0.3">
      <c r="A32" s="12" t="s">
        <v>5</v>
      </c>
      <c r="B32" s="12" t="s">
        <v>136</v>
      </c>
      <c r="C32" s="12">
        <v>789</v>
      </c>
      <c r="D32" s="12">
        <v>8</v>
      </c>
      <c r="G32" s="12" t="s">
        <v>35</v>
      </c>
    </row>
    <row r="33" spans="1:7" ht="43.2" x14ac:dyDescent="0.3">
      <c r="A33" s="12" t="s">
        <v>5</v>
      </c>
      <c r="B33" s="12" t="s">
        <v>137</v>
      </c>
      <c r="C33" s="12">
        <v>2613</v>
      </c>
      <c r="D33" s="12">
        <v>26</v>
      </c>
      <c r="G33" s="12" t="s">
        <v>36</v>
      </c>
    </row>
    <row r="34" spans="1:7" ht="28.8" x14ac:dyDescent="0.3">
      <c r="A34" s="12" t="s">
        <v>5</v>
      </c>
      <c r="B34" s="12" t="s">
        <v>138</v>
      </c>
      <c r="C34" s="12">
        <v>330</v>
      </c>
      <c r="D34" s="12">
        <v>3</v>
      </c>
      <c r="G34" s="12" t="s">
        <v>37</v>
      </c>
    </row>
    <row r="35" spans="1:7" ht="43.2" x14ac:dyDescent="0.3">
      <c r="A35" s="12" t="s">
        <v>5</v>
      </c>
      <c r="B35" s="12" t="s">
        <v>139</v>
      </c>
      <c r="C35" s="12">
        <v>1193</v>
      </c>
      <c r="D35" s="12">
        <v>12</v>
      </c>
      <c r="G35" s="12" t="s">
        <v>38</v>
      </c>
    </row>
    <row r="36" spans="1:7" ht="28.8" x14ac:dyDescent="0.3">
      <c r="A36" s="12" t="s">
        <v>5</v>
      </c>
      <c r="B36" s="12" t="s">
        <v>140</v>
      </c>
      <c r="C36" s="12">
        <v>761</v>
      </c>
      <c r="D36" s="12">
        <v>8</v>
      </c>
      <c r="G36" s="12" t="s">
        <v>39</v>
      </c>
    </row>
    <row r="37" spans="1:7" ht="43.2" x14ac:dyDescent="0.3">
      <c r="A37" s="12" t="s">
        <v>5</v>
      </c>
      <c r="B37" s="12" t="s">
        <v>141</v>
      </c>
      <c r="C37" s="12">
        <v>771</v>
      </c>
      <c r="D37" s="12">
        <v>8</v>
      </c>
      <c r="G37" s="12" t="s">
        <v>40</v>
      </c>
    </row>
    <row r="38" spans="1:7" ht="28.8" x14ac:dyDescent="0.3">
      <c r="A38" s="12" t="s">
        <v>5</v>
      </c>
      <c r="B38" s="12" t="s">
        <v>142</v>
      </c>
      <c r="C38" s="12">
        <v>348</v>
      </c>
      <c r="D38" s="12">
        <v>3</v>
      </c>
      <c r="G38" s="12" t="s">
        <v>42</v>
      </c>
    </row>
    <row r="39" spans="1:7" ht="43.2" x14ac:dyDescent="0.3">
      <c r="A39" s="12" t="s">
        <v>6</v>
      </c>
      <c r="B39" s="12" t="s">
        <v>143</v>
      </c>
      <c r="C39" s="12">
        <v>524</v>
      </c>
      <c r="D39" s="12">
        <v>5</v>
      </c>
      <c r="G39" s="12" t="s">
        <v>43</v>
      </c>
    </row>
    <row r="40" spans="1:7" ht="43.2" x14ac:dyDescent="0.3">
      <c r="A40" s="12" t="s">
        <v>6</v>
      </c>
      <c r="B40" s="12" t="s">
        <v>144</v>
      </c>
      <c r="C40" s="12">
        <v>625</v>
      </c>
      <c r="D40" s="12">
        <v>6</v>
      </c>
      <c r="G40" s="12" t="s">
        <v>44</v>
      </c>
    </row>
    <row r="41" spans="1:7" ht="43.2" x14ac:dyDescent="0.3">
      <c r="A41" s="12" t="s">
        <v>6</v>
      </c>
      <c r="B41" s="12" t="s">
        <v>145</v>
      </c>
      <c r="C41" s="12">
        <v>439</v>
      </c>
      <c r="D41" s="12">
        <v>4</v>
      </c>
      <c r="G41" s="12" t="s">
        <v>45</v>
      </c>
    </row>
    <row r="42" spans="1:7" ht="43.2" x14ac:dyDescent="0.3">
      <c r="A42" s="12" t="s">
        <v>6</v>
      </c>
      <c r="B42" s="12" t="s">
        <v>146</v>
      </c>
      <c r="C42" s="12">
        <v>294</v>
      </c>
      <c r="D42" s="12">
        <v>3</v>
      </c>
      <c r="G42" s="12" t="s">
        <v>46</v>
      </c>
    </row>
    <row r="43" spans="1:7" ht="72" x14ac:dyDescent="0.3">
      <c r="A43" s="12" t="s">
        <v>6</v>
      </c>
      <c r="B43" s="12" t="s">
        <v>147</v>
      </c>
      <c r="C43" s="12">
        <v>310</v>
      </c>
      <c r="D43" s="12">
        <v>3</v>
      </c>
      <c r="G43" s="12" t="s">
        <v>47</v>
      </c>
    </row>
    <row r="44" spans="1:7" ht="28.8" x14ac:dyDescent="0.3">
      <c r="A44" s="12" t="s">
        <v>6</v>
      </c>
      <c r="B44" s="12" t="s">
        <v>148</v>
      </c>
      <c r="C44" s="12">
        <v>322</v>
      </c>
      <c r="D44" s="12">
        <v>3</v>
      </c>
      <c r="G44" s="12" t="s">
        <v>48</v>
      </c>
    </row>
    <row r="45" spans="1:7" ht="43.2" x14ac:dyDescent="0.3">
      <c r="A45" s="12" t="s">
        <v>6</v>
      </c>
      <c r="B45" s="12" t="s">
        <v>149</v>
      </c>
      <c r="C45" s="12">
        <v>484</v>
      </c>
      <c r="D45" s="12">
        <v>5</v>
      </c>
      <c r="G45" s="12" t="s">
        <v>49</v>
      </c>
    </row>
    <row r="46" spans="1:7" ht="57.6" x14ac:dyDescent="0.3">
      <c r="A46" s="12" t="s">
        <v>6</v>
      </c>
      <c r="B46" s="12" t="s">
        <v>150</v>
      </c>
      <c r="C46" s="12">
        <v>748</v>
      </c>
      <c r="D46" s="12">
        <v>7</v>
      </c>
      <c r="G46" s="12" t="s">
        <v>50</v>
      </c>
    </row>
    <row r="47" spans="1:7" ht="57.6" x14ac:dyDescent="0.3">
      <c r="A47" s="12" t="s">
        <v>6</v>
      </c>
      <c r="B47" s="12" t="s">
        <v>151</v>
      </c>
      <c r="C47" s="12">
        <v>636</v>
      </c>
      <c r="D47" s="12">
        <v>6</v>
      </c>
      <c r="G47" s="12" t="s">
        <v>51</v>
      </c>
    </row>
    <row r="48" spans="1:7" ht="43.2" x14ac:dyDescent="0.3">
      <c r="A48" s="12" t="s">
        <v>6</v>
      </c>
      <c r="B48" s="12" t="s">
        <v>152</v>
      </c>
      <c r="C48" s="12">
        <v>266</v>
      </c>
      <c r="D48" s="12">
        <v>3</v>
      </c>
      <c r="G48" s="12" t="s">
        <v>52</v>
      </c>
    </row>
    <row r="49" spans="1:7" ht="43.2" x14ac:dyDescent="0.3">
      <c r="A49" s="12" t="s">
        <v>7</v>
      </c>
      <c r="B49" s="12" t="s">
        <v>153</v>
      </c>
      <c r="C49" s="12">
        <v>223</v>
      </c>
      <c r="D49" s="12">
        <v>2</v>
      </c>
      <c r="G49" s="12" t="s">
        <v>53</v>
      </c>
    </row>
    <row r="50" spans="1:7" ht="28.8" x14ac:dyDescent="0.3">
      <c r="A50" s="12" t="s">
        <v>7</v>
      </c>
      <c r="B50" s="12" t="s">
        <v>154</v>
      </c>
      <c r="C50" s="12">
        <v>862</v>
      </c>
      <c r="D50" s="12">
        <v>9</v>
      </c>
      <c r="G50" s="12" t="s">
        <v>54</v>
      </c>
    </row>
    <row r="51" spans="1:7" ht="28.8" x14ac:dyDescent="0.3">
      <c r="A51" s="12" t="s">
        <v>7</v>
      </c>
      <c r="B51" s="12" t="s">
        <v>155</v>
      </c>
      <c r="C51" s="12">
        <v>242</v>
      </c>
      <c r="D51" s="12">
        <v>2</v>
      </c>
      <c r="G51" s="12" t="s">
        <v>55</v>
      </c>
    </row>
    <row r="52" spans="1:7" ht="43.2" x14ac:dyDescent="0.3">
      <c r="A52" s="12" t="s">
        <v>7</v>
      </c>
      <c r="B52" s="12" t="s">
        <v>156</v>
      </c>
      <c r="C52" s="12">
        <v>316</v>
      </c>
      <c r="D52" s="12">
        <v>3</v>
      </c>
      <c r="G52" s="12" t="s">
        <v>56</v>
      </c>
    </row>
    <row r="53" spans="1:7" ht="43.2" x14ac:dyDescent="0.3">
      <c r="A53" s="12" t="s">
        <v>8</v>
      </c>
      <c r="B53" s="12" t="s">
        <v>157</v>
      </c>
      <c r="C53" s="12">
        <v>349</v>
      </c>
      <c r="D53" s="12">
        <v>3</v>
      </c>
      <c r="G53" s="12" t="s">
        <v>57</v>
      </c>
    </row>
    <row r="54" spans="1:7" ht="43.2" x14ac:dyDescent="0.3">
      <c r="A54" s="12" t="s">
        <v>8</v>
      </c>
      <c r="B54" s="12" t="s">
        <v>158</v>
      </c>
      <c r="C54" s="12">
        <v>256</v>
      </c>
      <c r="D54" s="12">
        <v>3</v>
      </c>
      <c r="G54" s="12" t="s">
        <v>58</v>
      </c>
    </row>
    <row r="55" spans="1:7" ht="43.2" x14ac:dyDescent="0.3">
      <c r="A55" s="12" t="s">
        <v>8</v>
      </c>
      <c r="B55" s="12" t="s">
        <v>159</v>
      </c>
      <c r="C55" s="12">
        <v>408</v>
      </c>
      <c r="D55" s="12">
        <v>4</v>
      </c>
      <c r="G55" s="12" t="s">
        <v>59</v>
      </c>
    </row>
    <row r="56" spans="1:7" ht="43.2" x14ac:dyDescent="0.3">
      <c r="A56" s="12" t="s">
        <v>8</v>
      </c>
      <c r="B56" s="12" t="s">
        <v>160</v>
      </c>
      <c r="C56" s="12">
        <v>975</v>
      </c>
      <c r="D56" s="12">
        <v>10</v>
      </c>
      <c r="G56" s="12" t="s">
        <v>61</v>
      </c>
    </row>
    <row r="57" spans="1:7" ht="57.6" x14ac:dyDescent="0.3">
      <c r="A57" s="12" t="s">
        <v>8</v>
      </c>
      <c r="B57" s="12" t="s">
        <v>161</v>
      </c>
      <c r="C57" s="12">
        <v>662</v>
      </c>
      <c r="D57" s="12">
        <v>7</v>
      </c>
      <c r="G57" s="12" t="s">
        <v>62</v>
      </c>
    </row>
    <row r="58" spans="1:7" ht="43.2" x14ac:dyDescent="0.3">
      <c r="A58" s="12" t="s">
        <v>8</v>
      </c>
      <c r="B58" s="12" t="s">
        <v>162</v>
      </c>
      <c r="C58" s="12">
        <v>213</v>
      </c>
      <c r="D58" s="12">
        <v>2</v>
      </c>
      <c r="G58" s="12" t="s">
        <v>63</v>
      </c>
    </row>
    <row r="59" spans="1:7" ht="28.8" x14ac:dyDescent="0.3">
      <c r="A59" s="12" t="s">
        <v>8</v>
      </c>
      <c r="B59" s="12" t="s">
        <v>163</v>
      </c>
      <c r="C59" s="12">
        <v>263</v>
      </c>
      <c r="D59" s="12">
        <v>3</v>
      </c>
      <c r="G59" s="12" t="s">
        <v>64</v>
      </c>
    </row>
    <row r="60" spans="1:7" ht="43.2" x14ac:dyDescent="0.3">
      <c r="A60" s="12" t="s">
        <v>8</v>
      </c>
      <c r="B60" s="12" t="s">
        <v>164</v>
      </c>
      <c r="C60" s="12">
        <v>1058</v>
      </c>
      <c r="D60" s="12">
        <v>11</v>
      </c>
      <c r="G60" s="12" t="s">
        <v>65</v>
      </c>
    </row>
    <row r="61" spans="1:7" ht="43.2" x14ac:dyDescent="0.3">
      <c r="A61" s="12" t="s">
        <v>8</v>
      </c>
      <c r="B61" s="12" t="s">
        <v>165</v>
      </c>
      <c r="C61" s="12">
        <v>730</v>
      </c>
      <c r="D61" s="12">
        <v>7</v>
      </c>
      <c r="G61" s="12" t="s">
        <v>66</v>
      </c>
    </row>
    <row r="62" spans="1:7" ht="43.2" x14ac:dyDescent="0.3">
      <c r="A62" s="12" t="s">
        <v>8</v>
      </c>
      <c r="B62" s="12" t="s">
        <v>166</v>
      </c>
      <c r="C62" s="12">
        <v>848</v>
      </c>
      <c r="D62" s="12">
        <v>8</v>
      </c>
      <c r="G62" s="12" t="s">
        <v>67</v>
      </c>
    </row>
    <row r="63" spans="1:7" ht="28.8" x14ac:dyDescent="0.3">
      <c r="A63" s="12" t="s">
        <v>8</v>
      </c>
      <c r="B63" s="12" t="s">
        <v>167</v>
      </c>
      <c r="C63" s="12">
        <v>95</v>
      </c>
      <c r="D63" s="12">
        <v>1</v>
      </c>
      <c r="G63" s="12" t="s">
        <v>68</v>
      </c>
    </row>
    <row r="64" spans="1:7" x14ac:dyDescent="0.3">
      <c r="A64" s="12" t="s">
        <v>9</v>
      </c>
      <c r="B64" s="12" t="s">
        <v>168</v>
      </c>
      <c r="C64" s="12">
        <v>225</v>
      </c>
      <c r="D64" s="12">
        <v>2</v>
      </c>
      <c r="G64" s="12" t="s">
        <v>69</v>
      </c>
    </row>
    <row r="65" spans="1:7" ht="28.8" x14ac:dyDescent="0.3">
      <c r="A65" s="12" t="s">
        <v>9</v>
      </c>
      <c r="B65" s="12" t="s">
        <v>169</v>
      </c>
      <c r="C65" s="12">
        <v>236</v>
      </c>
      <c r="D65" s="12">
        <v>2</v>
      </c>
      <c r="G65" s="12" t="s">
        <v>70</v>
      </c>
    </row>
    <row r="66" spans="1:7" ht="43.2" x14ac:dyDescent="0.3">
      <c r="A66" s="12" t="s">
        <v>9</v>
      </c>
      <c r="B66" s="12" t="s">
        <v>170</v>
      </c>
      <c r="C66" s="12">
        <v>76</v>
      </c>
      <c r="D66" s="12">
        <v>1</v>
      </c>
      <c r="G66" s="12" t="s">
        <v>71</v>
      </c>
    </row>
    <row r="67" spans="1:7" ht="28.8" x14ac:dyDescent="0.3">
      <c r="A67" s="12" t="s">
        <v>9</v>
      </c>
      <c r="B67" s="12" t="s">
        <v>171</v>
      </c>
      <c r="C67" s="12">
        <v>122</v>
      </c>
      <c r="D67" s="12">
        <v>1</v>
      </c>
      <c r="G67" s="12" t="s">
        <v>72</v>
      </c>
    </row>
    <row r="68" spans="1:7" ht="28.8" x14ac:dyDescent="0.3">
      <c r="A68" s="12" t="s">
        <v>9</v>
      </c>
      <c r="B68" s="12" t="s">
        <v>172</v>
      </c>
      <c r="C68" s="12">
        <v>95</v>
      </c>
      <c r="D68" s="12">
        <v>1</v>
      </c>
      <c r="G68" s="12" t="s">
        <v>73</v>
      </c>
    </row>
    <row r="69" spans="1:7" ht="28.8" x14ac:dyDescent="0.3">
      <c r="A69" s="12" t="s">
        <v>9</v>
      </c>
      <c r="B69" s="12" t="s">
        <v>173</v>
      </c>
      <c r="C69" s="12">
        <v>85</v>
      </c>
      <c r="D69" s="12">
        <v>1</v>
      </c>
      <c r="G69" s="12" t="s">
        <v>74</v>
      </c>
    </row>
    <row r="70" spans="1:7" ht="43.2" x14ac:dyDescent="0.3">
      <c r="A70" s="12" t="s">
        <v>9</v>
      </c>
      <c r="B70" s="12" t="s">
        <v>174</v>
      </c>
      <c r="C70" s="12">
        <v>45</v>
      </c>
      <c r="D70" s="12">
        <v>1</v>
      </c>
      <c r="G70" s="12" t="s">
        <v>75</v>
      </c>
    </row>
    <row r="71" spans="1:7" ht="43.2" x14ac:dyDescent="0.3">
      <c r="A71" s="12" t="s">
        <v>9</v>
      </c>
      <c r="B71" s="12" t="s">
        <v>175</v>
      </c>
      <c r="C71" s="12">
        <v>799</v>
      </c>
      <c r="D71" s="12">
        <v>8</v>
      </c>
      <c r="G71" s="12" t="s">
        <v>76</v>
      </c>
    </row>
    <row r="72" spans="1:7" x14ac:dyDescent="0.3">
      <c r="A72" s="12" t="s">
        <v>9</v>
      </c>
      <c r="B72" s="12" t="s">
        <v>176</v>
      </c>
      <c r="C72" s="12">
        <v>39</v>
      </c>
      <c r="D72" s="12">
        <v>1</v>
      </c>
      <c r="G72" s="12" t="s">
        <v>77</v>
      </c>
    </row>
    <row r="73" spans="1:7" ht="28.8" x14ac:dyDescent="0.3">
      <c r="A73" s="12" t="s">
        <v>9</v>
      </c>
      <c r="B73" s="12" t="s">
        <v>177</v>
      </c>
      <c r="C73" s="12">
        <v>426</v>
      </c>
      <c r="D73" s="12">
        <v>4</v>
      </c>
      <c r="G73" s="12" t="s">
        <v>78</v>
      </c>
    </row>
    <row r="74" spans="1:7" ht="28.8" x14ac:dyDescent="0.3">
      <c r="A74" s="12" t="s">
        <v>9</v>
      </c>
      <c r="B74" s="12" t="s">
        <v>178</v>
      </c>
      <c r="C74" s="12">
        <v>126</v>
      </c>
      <c r="D74" s="12">
        <v>1</v>
      </c>
      <c r="G74" s="12" t="s">
        <v>79</v>
      </c>
    </row>
    <row r="75" spans="1:7" ht="28.8" x14ac:dyDescent="0.3">
      <c r="A75" s="12" t="s">
        <v>9</v>
      </c>
      <c r="B75" s="12" t="s">
        <v>179</v>
      </c>
      <c r="C75" s="12">
        <v>548</v>
      </c>
      <c r="D75" s="12">
        <v>5</v>
      </c>
      <c r="G75" s="12" t="s">
        <v>80</v>
      </c>
    </row>
    <row r="76" spans="1:7" ht="28.8" x14ac:dyDescent="0.3">
      <c r="A76" s="12" t="s">
        <v>9</v>
      </c>
      <c r="B76" s="12" t="s">
        <v>180</v>
      </c>
      <c r="C76" s="12">
        <v>162</v>
      </c>
      <c r="D76" s="12">
        <v>2</v>
      </c>
      <c r="G76" s="12" t="s">
        <v>81</v>
      </c>
    </row>
    <row r="77" spans="1:7" ht="28.8" x14ac:dyDescent="0.3">
      <c r="A77" s="12" t="s">
        <v>9</v>
      </c>
      <c r="B77" s="12" t="s">
        <v>181</v>
      </c>
      <c r="C77" s="12">
        <v>418</v>
      </c>
      <c r="D77" s="12">
        <v>4</v>
      </c>
      <c r="G77" s="12" t="s">
        <v>82</v>
      </c>
    </row>
    <row r="78" spans="1:7" ht="28.8" x14ac:dyDescent="0.3">
      <c r="A78" s="12" t="s">
        <v>9</v>
      </c>
      <c r="B78" s="12" t="s">
        <v>182</v>
      </c>
      <c r="C78" s="12">
        <v>131</v>
      </c>
      <c r="D78" s="12">
        <v>1</v>
      </c>
      <c r="G78" s="12" t="s">
        <v>83</v>
      </c>
    </row>
    <row r="79" spans="1:7" ht="43.2" x14ac:dyDescent="0.3">
      <c r="A79" s="12" t="s">
        <v>9</v>
      </c>
      <c r="B79" s="12" t="s">
        <v>183</v>
      </c>
      <c r="C79" s="12">
        <v>25</v>
      </c>
      <c r="D79" s="12">
        <v>1</v>
      </c>
      <c r="G79" s="12" t="s">
        <v>84</v>
      </c>
    </row>
    <row r="80" spans="1:7" ht="43.2" x14ac:dyDescent="0.3">
      <c r="A80" s="12" t="s">
        <v>9</v>
      </c>
      <c r="B80" s="12" t="s">
        <v>184</v>
      </c>
      <c r="C80" s="12">
        <v>746</v>
      </c>
      <c r="D80" s="12">
        <v>7</v>
      </c>
      <c r="G80" s="12" t="s">
        <v>85</v>
      </c>
    </row>
    <row r="81" spans="1:7" ht="43.2" x14ac:dyDescent="0.3">
      <c r="A81" s="12" t="s">
        <v>10</v>
      </c>
      <c r="B81" s="12" t="s">
        <v>185</v>
      </c>
      <c r="C81" s="12">
        <v>160</v>
      </c>
      <c r="D81" s="12">
        <v>2</v>
      </c>
      <c r="G81" s="12" t="s">
        <v>86</v>
      </c>
    </row>
    <row r="82" spans="1:7" ht="43.2" x14ac:dyDescent="0.3">
      <c r="A82" s="12" t="s">
        <v>10</v>
      </c>
      <c r="B82" s="12" t="s">
        <v>186</v>
      </c>
      <c r="C82" s="12">
        <v>533</v>
      </c>
      <c r="D82" s="12">
        <v>5</v>
      </c>
      <c r="G82" s="12" t="s">
        <v>87</v>
      </c>
    </row>
    <row r="83" spans="1:7" ht="43.2" x14ac:dyDescent="0.3">
      <c r="A83" s="12" t="s">
        <v>10</v>
      </c>
      <c r="B83" s="12" t="s">
        <v>187</v>
      </c>
      <c r="C83" s="12">
        <v>54</v>
      </c>
      <c r="D83" s="12">
        <v>1</v>
      </c>
      <c r="G83" s="12" t="s">
        <v>88</v>
      </c>
    </row>
    <row r="84" spans="1:7" ht="28.8" x14ac:dyDescent="0.3">
      <c r="A84" s="12" t="s">
        <v>10</v>
      </c>
      <c r="B84" s="12" t="s">
        <v>188</v>
      </c>
      <c r="C84" s="12">
        <v>22</v>
      </c>
      <c r="D84" s="12">
        <v>1</v>
      </c>
      <c r="G84" s="12" t="s">
        <v>89</v>
      </c>
    </row>
    <row r="85" spans="1:7" ht="43.2" x14ac:dyDescent="0.3">
      <c r="A85" s="12" t="s">
        <v>10</v>
      </c>
      <c r="B85" s="12" t="s">
        <v>189</v>
      </c>
      <c r="C85" s="12">
        <v>36</v>
      </c>
      <c r="D85" s="12">
        <v>1</v>
      </c>
      <c r="G85" s="12" t="s">
        <v>90</v>
      </c>
    </row>
    <row r="86" spans="1:7" ht="28.8" x14ac:dyDescent="0.3">
      <c r="A86" s="12" t="s">
        <v>10</v>
      </c>
      <c r="B86" s="12" t="s">
        <v>190</v>
      </c>
      <c r="C86" s="12">
        <v>72</v>
      </c>
      <c r="D86" s="12">
        <v>1</v>
      </c>
      <c r="G86" s="12" t="s">
        <v>91</v>
      </c>
    </row>
    <row r="87" spans="1:7" x14ac:dyDescent="0.3">
      <c r="A87" s="12" t="s">
        <v>10</v>
      </c>
      <c r="B87" s="12" t="s">
        <v>191</v>
      </c>
      <c r="C87" s="12">
        <v>11</v>
      </c>
      <c r="D87" s="12">
        <v>1</v>
      </c>
      <c r="G87" s="12" t="s">
        <v>92</v>
      </c>
    </row>
    <row r="88" spans="1:7" ht="28.8" x14ac:dyDescent="0.3">
      <c r="A88" s="12" t="s">
        <v>10</v>
      </c>
      <c r="B88" s="12" t="s">
        <v>192</v>
      </c>
      <c r="C88" s="12">
        <v>42</v>
      </c>
      <c r="D88" s="12">
        <v>1</v>
      </c>
      <c r="G88" s="12" t="s">
        <v>93</v>
      </c>
    </row>
    <row r="89" spans="1:7" ht="28.8" x14ac:dyDescent="0.3">
      <c r="A89" s="12" t="s">
        <v>10</v>
      </c>
      <c r="B89" s="12" t="s">
        <v>193</v>
      </c>
      <c r="C89" s="12">
        <v>39</v>
      </c>
      <c r="D89" s="12">
        <v>1</v>
      </c>
      <c r="G89" s="12" t="s">
        <v>94</v>
      </c>
    </row>
    <row r="90" spans="1:7" ht="28.8" x14ac:dyDescent="0.3">
      <c r="A90" s="12" t="s">
        <v>10</v>
      </c>
      <c r="B90" s="12" t="s">
        <v>194</v>
      </c>
      <c r="C90" s="12">
        <v>111</v>
      </c>
      <c r="D90" s="12">
        <v>1</v>
      </c>
      <c r="G90" s="12" t="s">
        <v>95</v>
      </c>
    </row>
    <row r="91" spans="1:7" ht="28.8" x14ac:dyDescent="0.3">
      <c r="A91" s="12" t="s">
        <v>10</v>
      </c>
      <c r="B91" s="12" t="s">
        <v>195</v>
      </c>
      <c r="C91" s="12">
        <v>125</v>
      </c>
      <c r="D91" s="12">
        <v>1</v>
      </c>
      <c r="G91" s="12" t="s">
        <v>41</v>
      </c>
    </row>
    <row r="92" spans="1:7" ht="43.2" x14ac:dyDescent="0.3">
      <c r="A92" s="12" t="s">
        <v>10</v>
      </c>
      <c r="B92" s="12" t="s">
        <v>196</v>
      </c>
      <c r="C92" s="12">
        <v>26</v>
      </c>
      <c r="D92" s="12">
        <v>1</v>
      </c>
      <c r="G92" s="12" t="s">
        <v>60</v>
      </c>
    </row>
    <row r="93" spans="1:7" ht="43.2" x14ac:dyDescent="0.3">
      <c r="A93" s="12" t="s">
        <v>10</v>
      </c>
      <c r="B93" s="12" t="s">
        <v>197</v>
      </c>
      <c r="C93" s="12">
        <v>106</v>
      </c>
      <c r="D93" s="12">
        <v>1</v>
      </c>
      <c r="G93" s="12" t="s">
        <v>96</v>
      </c>
    </row>
    <row r="94" spans="1:7" ht="43.2" x14ac:dyDescent="0.3">
      <c r="A94" s="12" t="s">
        <v>10</v>
      </c>
      <c r="B94" s="12" t="s">
        <v>198</v>
      </c>
      <c r="C94" s="12">
        <v>130</v>
      </c>
      <c r="D94" s="12">
        <v>1</v>
      </c>
      <c r="G94" s="12" t="s">
        <v>97</v>
      </c>
    </row>
    <row r="95" spans="1:7" ht="43.2" x14ac:dyDescent="0.3">
      <c r="A95" s="12" t="s">
        <v>10</v>
      </c>
      <c r="B95" s="12" t="s">
        <v>199</v>
      </c>
      <c r="C95" s="12">
        <v>113</v>
      </c>
      <c r="D95" s="12">
        <v>1</v>
      </c>
      <c r="G95" s="12" t="s">
        <v>98</v>
      </c>
    </row>
    <row r="96" spans="1:7" ht="28.8" x14ac:dyDescent="0.3">
      <c r="A96" s="12" t="s">
        <v>10</v>
      </c>
      <c r="B96" s="12" t="s">
        <v>200</v>
      </c>
      <c r="C96" s="12">
        <v>293</v>
      </c>
      <c r="D96" s="12">
        <v>3</v>
      </c>
      <c r="G96" s="12" t="s">
        <v>99</v>
      </c>
    </row>
    <row r="97" spans="1:7" ht="43.2" x14ac:dyDescent="0.3">
      <c r="A97" s="12" t="s">
        <v>10</v>
      </c>
      <c r="B97" s="12" t="s">
        <v>201</v>
      </c>
      <c r="C97" s="12">
        <v>42</v>
      </c>
      <c r="D97" s="12">
        <v>1</v>
      </c>
      <c r="G97" s="12" t="s">
        <v>100</v>
      </c>
    </row>
    <row r="98" spans="1:7" x14ac:dyDescent="0.3">
      <c r="A98" s="12" t="s">
        <v>10</v>
      </c>
      <c r="B98" s="12" t="s">
        <v>202</v>
      </c>
      <c r="C98" s="12">
        <v>42</v>
      </c>
      <c r="D98" s="12">
        <v>1</v>
      </c>
      <c r="G98" s="12" t="s">
        <v>101</v>
      </c>
    </row>
    <row r="99" spans="1:7" ht="43.2" x14ac:dyDescent="0.3">
      <c r="A99" s="12" t="s">
        <v>10</v>
      </c>
      <c r="B99" s="12" t="s">
        <v>203</v>
      </c>
      <c r="C99" s="12">
        <v>22</v>
      </c>
      <c r="D99" s="12">
        <v>1</v>
      </c>
      <c r="G99" s="12" t="s">
        <v>102</v>
      </c>
    </row>
    <row r="100" spans="1:7" ht="28.8" x14ac:dyDescent="0.3">
      <c r="A100" s="12" t="s">
        <v>11</v>
      </c>
      <c r="B100" s="12" t="s">
        <v>204</v>
      </c>
      <c r="C100" s="12">
        <v>457</v>
      </c>
      <c r="D100" s="12">
        <v>5</v>
      </c>
      <c r="G100" s="12" t="s">
        <v>103</v>
      </c>
    </row>
    <row r="101" spans="1:7" ht="28.8" x14ac:dyDescent="0.3">
      <c r="A101" s="12" t="s">
        <v>11</v>
      </c>
      <c r="B101" s="12" t="s">
        <v>205</v>
      </c>
      <c r="C101" s="12">
        <v>222</v>
      </c>
      <c r="D101" s="12">
        <v>2</v>
      </c>
      <c r="G101" s="12" t="s">
        <v>104</v>
      </c>
    </row>
    <row r="102" spans="1:7" ht="43.2" x14ac:dyDescent="0.3">
      <c r="A102" s="12" t="s">
        <v>11</v>
      </c>
      <c r="B102" s="12" t="s">
        <v>206</v>
      </c>
      <c r="C102" s="12">
        <v>509</v>
      </c>
      <c r="D102" s="12">
        <v>5</v>
      </c>
    </row>
    <row r="103" spans="1:7" ht="43.2" x14ac:dyDescent="0.3">
      <c r="A103" s="12" t="s">
        <v>11</v>
      </c>
      <c r="B103" s="12" t="s">
        <v>207</v>
      </c>
      <c r="C103" s="12">
        <v>277</v>
      </c>
      <c r="D103" s="12">
        <v>3</v>
      </c>
    </row>
    <row r="104" spans="1:7" ht="43.2" x14ac:dyDescent="0.3">
      <c r="A104" s="12" t="s">
        <v>11</v>
      </c>
      <c r="B104" s="12" t="s">
        <v>208</v>
      </c>
      <c r="C104" s="12">
        <v>842</v>
      </c>
      <c r="D104" s="12">
        <v>8</v>
      </c>
    </row>
    <row r="105" spans="1:7" ht="28.8" x14ac:dyDescent="0.3">
      <c r="A105" s="12" t="s">
        <v>11</v>
      </c>
      <c r="B105" s="12" t="s">
        <v>209</v>
      </c>
      <c r="C105" s="12">
        <v>264</v>
      </c>
      <c r="D105" s="12">
        <v>3</v>
      </c>
    </row>
    <row r="106" spans="1:7" x14ac:dyDescent="0.3">
      <c r="A106" s="12" t="s">
        <v>11</v>
      </c>
      <c r="B106" s="12" t="s">
        <v>210</v>
      </c>
      <c r="C106" s="12">
        <v>530</v>
      </c>
      <c r="D106" s="12">
        <v>5</v>
      </c>
    </row>
    <row r="107" spans="1:7" ht="43.2" x14ac:dyDescent="0.3">
      <c r="A107" s="12" t="s">
        <v>11</v>
      </c>
      <c r="B107" s="12" t="s">
        <v>211</v>
      </c>
      <c r="C107" s="12">
        <v>73</v>
      </c>
      <c r="D107" s="12">
        <v>1</v>
      </c>
    </row>
    <row r="108" spans="1:7" ht="28.8" x14ac:dyDescent="0.3">
      <c r="A108" s="12" t="s">
        <v>11</v>
      </c>
      <c r="B108" s="12" t="s">
        <v>212</v>
      </c>
      <c r="C108" s="12">
        <v>245</v>
      </c>
      <c r="D108" s="12">
        <v>2</v>
      </c>
    </row>
    <row r="109" spans="1:7" ht="28.8" x14ac:dyDescent="0.3">
      <c r="A109" s="12" t="s">
        <v>11</v>
      </c>
      <c r="B109" s="12" t="s">
        <v>213</v>
      </c>
      <c r="C109" s="12">
        <v>440</v>
      </c>
      <c r="D109" s="12">
        <v>4</v>
      </c>
    </row>
    <row r="110" spans="1:7" ht="57.6" x14ac:dyDescent="0.3">
      <c r="A110" s="12" t="s">
        <v>11</v>
      </c>
      <c r="B110" s="12" t="s">
        <v>214</v>
      </c>
      <c r="C110" s="12">
        <v>709</v>
      </c>
      <c r="D110" s="12">
        <v>7</v>
      </c>
    </row>
    <row r="111" spans="1:7" ht="43.2" x14ac:dyDescent="0.3">
      <c r="A111" s="12" t="s">
        <v>11</v>
      </c>
      <c r="B111" s="12" t="s">
        <v>215</v>
      </c>
      <c r="C111" s="12">
        <v>253</v>
      </c>
      <c r="D111" s="12">
        <v>3</v>
      </c>
    </row>
    <row r="112" spans="1:7" ht="43.2" x14ac:dyDescent="0.3">
      <c r="A112" s="12" t="s">
        <v>11</v>
      </c>
      <c r="B112" s="12" t="s">
        <v>216</v>
      </c>
      <c r="C112" s="12">
        <v>81</v>
      </c>
      <c r="D112" s="12">
        <v>1</v>
      </c>
    </row>
    <row r="113" spans="1:4" ht="28.8" x14ac:dyDescent="0.3">
      <c r="A113" s="12" t="s">
        <v>11</v>
      </c>
      <c r="B113" s="12" t="s">
        <v>217</v>
      </c>
      <c r="C113" s="12">
        <v>550</v>
      </c>
      <c r="D113" s="12">
        <v>6</v>
      </c>
    </row>
    <row r="114" spans="1:4" ht="28.8" x14ac:dyDescent="0.3">
      <c r="A114" s="12" t="s">
        <v>11</v>
      </c>
      <c r="B114" s="12" t="s">
        <v>218</v>
      </c>
      <c r="C114" s="12">
        <v>330</v>
      </c>
      <c r="D114" s="12">
        <v>3</v>
      </c>
    </row>
    <row r="115" spans="1:4" ht="43.2" x14ac:dyDescent="0.3">
      <c r="A115" s="12" t="s">
        <v>11</v>
      </c>
      <c r="B115" s="12" t="s">
        <v>219</v>
      </c>
      <c r="C115" s="12">
        <v>483</v>
      </c>
      <c r="D115" s="12">
        <v>5</v>
      </c>
    </row>
    <row r="116" spans="1:4" ht="57.6" x14ac:dyDescent="0.3">
      <c r="A116" s="12" t="s">
        <v>11</v>
      </c>
      <c r="B116" s="12" t="s">
        <v>220</v>
      </c>
      <c r="C116" s="12">
        <v>343</v>
      </c>
      <c r="D116" s="12">
        <v>3</v>
      </c>
    </row>
    <row r="117" spans="1:4" ht="57.6" x14ac:dyDescent="0.3">
      <c r="A117" s="12" t="s">
        <v>11</v>
      </c>
      <c r="B117" s="12" t="s">
        <v>221</v>
      </c>
      <c r="C117" s="12">
        <v>655</v>
      </c>
      <c r="D117" s="12">
        <v>7</v>
      </c>
    </row>
    <row r="118" spans="1:4" ht="57.6" x14ac:dyDescent="0.3">
      <c r="A118" s="12" t="s">
        <v>11</v>
      </c>
      <c r="B118" s="12" t="s">
        <v>222</v>
      </c>
      <c r="C118" s="12">
        <v>634</v>
      </c>
      <c r="D118" s="12">
        <v>6</v>
      </c>
    </row>
    <row r="119" spans="1:4" ht="57.6" x14ac:dyDescent="0.3">
      <c r="A119" s="12" t="s">
        <v>11</v>
      </c>
      <c r="B119" s="12" t="s">
        <v>223</v>
      </c>
      <c r="C119" s="12">
        <v>692</v>
      </c>
      <c r="D119" s="12">
        <v>7</v>
      </c>
    </row>
    <row r="120" spans="1:4" ht="43.2" x14ac:dyDescent="0.3">
      <c r="A120" s="12" t="s">
        <v>11</v>
      </c>
      <c r="B120" s="12" t="s">
        <v>224</v>
      </c>
      <c r="C120" s="12">
        <v>266</v>
      </c>
      <c r="D120" s="12">
        <v>3</v>
      </c>
    </row>
    <row r="121" spans="1:4" ht="43.2" x14ac:dyDescent="0.3">
      <c r="A121" s="12" t="s">
        <v>12</v>
      </c>
      <c r="B121" s="12" t="s">
        <v>225</v>
      </c>
      <c r="C121" s="12">
        <v>250</v>
      </c>
      <c r="D121" s="12">
        <v>2</v>
      </c>
    </row>
    <row r="122" spans="1:4" ht="43.2" x14ac:dyDescent="0.3">
      <c r="A122" s="12" t="s">
        <v>12</v>
      </c>
      <c r="B122" s="12" t="s">
        <v>226</v>
      </c>
      <c r="C122" s="12">
        <v>684</v>
      </c>
      <c r="D122" s="12">
        <v>7</v>
      </c>
    </row>
    <row r="123" spans="1:4" ht="28.8" x14ac:dyDescent="0.3">
      <c r="A123" s="12" t="s">
        <v>12</v>
      </c>
      <c r="B123" s="12" t="s">
        <v>227</v>
      </c>
      <c r="C123" s="12">
        <v>206</v>
      </c>
      <c r="D123" s="12">
        <v>2</v>
      </c>
    </row>
    <row r="124" spans="1:4" ht="28.8" x14ac:dyDescent="0.3">
      <c r="A124" s="12" t="s">
        <v>12</v>
      </c>
      <c r="B124" s="12" t="s">
        <v>228</v>
      </c>
      <c r="C124" s="12">
        <v>313</v>
      </c>
      <c r="D124" s="12">
        <v>3</v>
      </c>
    </row>
    <row r="125" spans="1:4" ht="43.2" x14ac:dyDescent="0.3">
      <c r="A125" s="12" t="s">
        <v>12</v>
      </c>
      <c r="B125" s="12" t="s">
        <v>229</v>
      </c>
      <c r="C125" s="12">
        <v>235</v>
      </c>
      <c r="D125" s="12">
        <v>2</v>
      </c>
    </row>
    <row r="126" spans="1:4" ht="43.2" x14ac:dyDescent="0.3">
      <c r="A126" s="12" t="s">
        <v>12</v>
      </c>
      <c r="B126" s="12" t="s">
        <v>230</v>
      </c>
      <c r="C126" s="12">
        <v>302</v>
      </c>
      <c r="D126" s="12">
        <v>3</v>
      </c>
    </row>
    <row r="127" spans="1:4" ht="28.8" x14ac:dyDescent="0.3">
      <c r="A127" s="12" t="s">
        <v>12</v>
      </c>
      <c r="B127" s="12" t="s">
        <v>231</v>
      </c>
      <c r="C127" s="12">
        <v>537</v>
      </c>
      <c r="D127" s="12">
        <v>5</v>
      </c>
    </row>
    <row r="128" spans="1:4" ht="43.2" x14ac:dyDescent="0.3">
      <c r="A128" s="12" t="s">
        <v>12</v>
      </c>
      <c r="B128" s="12" t="s">
        <v>232</v>
      </c>
      <c r="C128" s="12">
        <v>429</v>
      </c>
      <c r="D128" s="12">
        <v>4</v>
      </c>
    </row>
    <row r="129" spans="1:4" x14ac:dyDescent="0.3">
      <c r="A129" s="12" t="s">
        <v>12</v>
      </c>
      <c r="B129" s="12" t="s">
        <v>233</v>
      </c>
      <c r="C129" s="12">
        <v>317</v>
      </c>
      <c r="D129" s="12">
        <v>3</v>
      </c>
    </row>
    <row r="130" spans="1:4" ht="43.2" x14ac:dyDescent="0.3">
      <c r="A130" s="12" t="s">
        <v>12</v>
      </c>
      <c r="B130" s="12" t="s">
        <v>234</v>
      </c>
      <c r="C130" s="12">
        <v>1669</v>
      </c>
      <c r="D130" s="12">
        <v>17</v>
      </c>
    </row>
    <row r="131" spans="1:4" ht="43.2" x14ac:dyDescent="0.3">
      <c r="A131" s="12" t="s">
        <v>12</v>
      </c>
      <c r="B131" s="12" t="s">
        <v>235</v>
      </c>
      <c r="C131" s="12">
        <v>48</v>
      </c>
      <c r="D131" s="12">
        <v>1</v>
      </c>
    </row>
    <row r="132" spans="1:4" ht="43.2" x14ac:dyDescent="0.3">
      <c r="A132" s="12" t="s">
        <v>12</v>
      </c>
      <c r="B132" s="12" t="s">
        <v>236</v>
      </c>
      <c r="C132" s="12">
        <v>452</v>
      </c>
      <c r="D132" s="12">
        <v>5</v>
      </c>
    </row>
    <row r="133" spans="1:4" ht="28.8" x14ac:dyDescent="0.3">
      <c r="A133" s="12" t="s">
        <v>13</v>
      </c>
      <c r="B133" s="12" t="s">
        <v>237</v>
      </c>
      <c r="C133" s="12">
        <v>178</v>
      </c>
      <c r="D133" s="12">
        <v>2</v>
      </c>
    </row>
    <row r="134" spans="1:4" x14ac:dyDescent="0.3">
      <c r="A134" s="12" t="s">
        <v>13</v>
      </c>
      <c r="B134" s="12" t="s">
        <v>238</v>
      </c>
      <c r="C134" s="12">
        <v>557</v>
      </c>
      <c r="D134" s="12">
        <v>6</v>
      </c>
    </row>
    <row r="135" spans="1:4" ht="43.2" x14ac:dyDescent="0.3">
      <c r="A135" s="12" t="s">
        <v>13</v>
      </c>
      <c r="B135" s="12" t="s">
        <v>239</v>
      </c>
      <c r="C135" s="12">
        <v>260</v>
      </c>
      <c r="D135" s="12">
        <v>3</v>
      </c>
    </row>
    <row r="136" spans="1:4" ht="43.2" x14ac:dyDescent="0.3">
      <c r="A136" s="12" t="s">
        <v>13</v>
      </c>
      <c r="B136" s="12" t="s">
        <v>240</v>
      </c>
      <c r="C136" s="12">
        <v>498</v>
      </c>
      <c r="D136" s="12">
        <v>5</v>
      </c>
    </row>
    <row r="137" spans="1:4" ht="43.2" x14ac:dyDescent="0.3">
      <c r="A137" s="12" t="s">
        <v>13</v>
      </c>
      <c r="B137" s="12" t="s">
        <v>241</v>
      </c>
      <c r="C137" s="12">
        <v>400</v>
      </c>
      <c r="D137" s="12">
        <v>4</v>
      </c>
    </row>
    <row r="138" spans="1:4" ht="43.2" x14ac:dyDescent="0.3">
      <c r="A138" s="12" t="s">
        <v>13</v>
      </c>
      <c r="B138" s="12" t="s">
        <v>242</v>
      </c>
      <c r="C138" s="12">
        <v>738</v>
      </c>
      <c r="D138" s="12">
        <v>7</v>
      </c>
    </row>
    <row r="139" spans="1:4" ht="28.8" x14ac:dyDescent="0.3">
      <c r="A139" s="12" t="s">
        <v>13</v>
      </c>
      <c r="B139" s="12" t="s">
        <v>243</v>
      </c>
      <c r="C139" s="12">
        <v>277</v>
      </c>
      <c r="D139" s="12">
        <v>3</v>
      </c>
    </row>
    <row r="140" spans="1:4" x14ac:dyDescent="0.3">
      <c r="A140" s="12" t="s">
        <v>13</v>
      </c>
      <c r="B140" s="12" t="s">
        <v>244</v>
      </c>
      <c r="C140" s="12">
        <v>367</v>
      </c>
      <c r="D140" s="12">
        <v>4</v>
      </c>
    </row>
    <row r="141" spans="1:4" ht="43.2" x14ac:dyDescent="0.3">
      <c r="A141" s="12" t="s">
        <v>13</v>
      </c>
      <c r="B141" s="12" t="s">
        <v>245</v>
      </c>
      <c r="C141" s="12">
        <v>92</v>
      </c>
      <c r="D141" s="12">
        <v>1</v>
      </c>
    </row>
    <row r="142" spans="1:4" ht="57.6" x14ac:dyDescent="0.3">
      <c r="A142" s="12" t="s">
        <v>13</v>
      </c>
      <c r="B142" s="12" t="s">
        <v>246</v>
      </c>
      <c r="C142" s="12">
        <v>1199</v>
      </c>
      <c r="D142" s="12">
        <v>12</v>
      </c>
    </row>
    <row r="143" spans="1:4" ht="57.6" x14ac:dyDescent="0.3">
      <c r="A143" s="12" t="s">
        <v>13</v>
      </c>
      <c r="B143" s="12" t="s">
        <v>247</v>
      </c>
      <c r="C143" s="12">
        <v>712</v>
      </c>
      <c r="D143" s="12">
        <v>7</v>
      </c>
    </row>
    <row r="144" spans="1:4" ht="43.2" x14ac:dyDescent="0.3">
      <c r="A144" s="12" t="s">
        <v>13</v>
      </c>
      <c r="B144" s="12" t="s">
        <v>248</v>
      </c>
      <c r="C144" s="12">
        <v>227</v>
      </c>
      <c r="D144" s="12">
        <v>2</v>
      </c>
    </row>
    <row r="145" spans="1:4" ht="28.8" x14ac:dyDescent="0.3">
      <c r="A145" s="12" t="s">
        <v>13</v>
      </c>
      <c r="B145" s="12" t="s">
        <v>249</v>
      </c>
      <c r="C145" s="12">
        <v>559</v>
      </c>
      <c r="D145" s="12">
        <v>6</v>
      </c>
    </row>
    <row r="146" spans="1:4" ht="28.8" x14ac:dyDescent="0.3">
      <c r="A146" s="12" t="s">
        <v>13</v>
      </c>
      <c r="B146" s="12" t="s">
        <v>250</v>
      </c>
      <c r="C146" s="12">
        <v>135</v>
      </c>
      <c r="D146" s="12">
        <v>1</v>
      </c>
    </row>
    <row r="147" spans="1:4" ht="43.2" x14ac:dyDescent="0.3">
      <c r="A147" s="12" t="s">
        <v>13</v>
      </c>
      <c r="B147" s="12" t="s">
        <v>251</v>
      </c>
      <c r="C147" s="12">
        <v>180</v>
      </c>
      <c r="D147" s="12">
        <v>2</v>
      </c>
    </row>
    <row r="148" spans="1:4" ht="28.8" x14ac:dyDescent="0.3">
      <c r="A148" s="12" t="s">
        <v>13</v>
      </c>
      <c r="B148" s="12" t="s">
        <v>252</v>
      </c>
      <c r="C148" s="12">
        <v>317</v>
      </c>
      <c r="D148" s="12">
        <v>3</v>
      </c>
    </row>
    <row r="149" spans="1:4" ht="28.8" x14ac:dyDescent="0.3">
      <c r="A149" s="12" t="s">
        <v>13</v>
      </c>
      <c r="B149" s="12" t="s">
        <v>253</v>
      </c>
      <c r="C149" s="12">
        <v>565</v>
      </c>
      <c r="D149" s="12">
        <v>6</v>
      </c>
    </row>
    <row r="150" spans="1:4" ht="43.2" x14ac:dyDescent="0.3">
      <c r="A150" s="12" t="s">
        <v>14</v>
      </c>
      <c r="B150" s="12" t="s">
        <v>254</v>
      </c>
      <c r="C150" s="12">
        <v>2739</v>
      </c>
      <c r="D150" s="12">
        <v>27</v>
      </c>
    </row>
    <row r="151" spans="1:4" ht="43.2" x14ac:dyDescent="0.3">
      <c r="A151" s="12" t="s">
        <v>14</v>
      </c>
      <c r="B151" s="12" t="s">
        <v>255</v>
      </c>
      <c r="C151" s="12">
        <v>1092</v>
      </c>
      <c r="D151" s="12">
        <v>11</v>
      </c>
    </row>
    <row r="152" spans="1:4" ht="43.2" x14ac:dyDescent="0.3">
      <c r="A152" s="12" t="s">
        <v>14</v>
      </c>
      <c r="B152" s="12" t="s">
        <v>256</v>
      </c>
      <c r="C152" s="12">
        <v>951</v>
      </c>
      <c r="D152" s="12">
        <v>10</v>
      </c>
    </row>
    <row r="153" spans="1:4" ht="57.6" x14ac:dyDescent="0.3">
      <c r="A153" s="12" t="s">
        <v>14</v>
      </c>
      <c r="B153" s="12" t="s">
        <v>257</v>
      </c>
      <c r="C153" s="12">
        <v>907</v>
      </c>
      <c r="D153" s="12">
        <v>9</v>
      </c>
    </row>
    <row r="154" spans="1:4" ht="28.8" x14ac:dyDescent="0.3">
      <c r="A154" s="12" t="s">
        <v>14</v>
      </c>
      <c r="B154" s="12" t="s">
        <v>258</v>
      </c>
      <c r="C154" s="12">
        <v>367</v>
      </c>
      <c r="D154" s="12">
        <v>4</v>
      </c>
    </row>
    <row r="155" spans="1:4" ht="28.8" x14ac:dyDescent="0.3">
      <c r="A155" s="12" t="s">
        <v>14</v>
      </c>
      <c r="B155" s="12" t="s">
        <v>259</v>
      </c>
      <c r="C155" s="12">
        <v>976</v>
      </c>
      <c r="D155" s="12">
        <v>10</v>
      </c>
    </row>
    <row r="156" spans="1:4" ht="43.2" x14ac:dyDescent="0.3">
      <c r="A156" s="12" t="s">
        <v>14</v>
      </c>
      <c r="B156" s="12" t="s">
        <v>260</v>
      </c>
      <c r="C156" s="12">
        <v>1342</v>
      </c>
      <c r="D156" s="12">
        <v>13</v>
      </c>
    </row>
    <row r="157" spans="1:4" ht="28.8" x14ac:dyDescent="0.3">
      <c r="A157" s="12" t="s">
        <v>14</v>
      </c>
      <c r="B157" s="12" t="s">
        <v>261</v>
      </c>
      <c r="C157" s="12">
        <v>499</v>
      </c>
      <c r="D157" s="12">
        <v>5</v>
      </c>
    </row>
    <row r="158" spans="1:4" x14ac:dyDescent="0.3">
      <c r="A158" s="12" t="s">
        <v>14</v>
      </c>
      <c r="B158" s="12" t="s">
        <v>262</v>
      </c>
      <c r="C158" s="12">
        <v>1720</v>
      </c>
      <c r="D158" s="12">
        <v>17</v>
      </c>
    </row>
    <row r="159" spans="1:4" ht="43.2" x14ac:dyDescent="0.3">
      <c r="A159" s="12" t="s">
        <v>14</v>
      </c>
      <c r="B159" s="12" t="s">
        <v>263</v>
      </c>
      <c r="C159" s="12">
        <v>1523</v>
      </c>
      <c r="D159" s="12">
        <v>15</v>
      </c>
    </row>
    <row r="160" spans="1:4" ht="43.2" x14ac:dyDescent="0.3">
      <c r="A160" s="12" t="s">
        <v>14</v>
      </c>
      <c r="B160" s="12" t="s">
        <v>264</v>
      </c>
      <c r="C160" s="12">
        <v>860</v>
      </c>
      <c r="D160" s="12">
        <v>9</v>
      </c>
    </row>
    <row r="161" spans="1:4" ht="43.2" x14ac:dyDescent="0.3">
      <c r="A161" s="12" t="s">
        <v>14</v>
      </c>
      <c r="B161" s="12" t="s">
        <v>265</v>
      </c>
      <c r="C161" s="12">
        <v>1495</v>
      </c>
      <c r="D161" s="12">
        <v>15</v>
      </c>
    </row>
    <row r="162" spans="1:4" ht="28.8" x14ac:dyDescent="0.3">
      <c r="A162" s="12" t="s">
        <v>14</v>
      </c>
      <c r="B162" s="12" t="s">
        <v>266</v>
      </c>
      <c r="C162" s="12">
        <v>341</v>
      </c>
      <c r="D162" s="12">
        <v>3</v>
      </c>
    </row>
    <row r="163" spans="1:4" ht="28.8" x14ac:dyDescent="0.3">
      <c r="A163" s="12" t="s">
        <v>14</v>
      </c>
      <c r="B163" s="12" t="s">
        <v>267</v>
      </c>
      <c r="C163" s="12">
        <v>646</v>
      </c>
      <c r="D163" s="12">
        <v>6</v>
      </c>
    </row>
    <row r="164" spans="1:4" ht="28.8" x14ac:dyDescent="0.3">
      <c r="A164" s="12" t="s">
        <v>14</v>
      </c>
      <c r="B164" s="12" t="s">
        <v>268</v>
      </c>
      <c r="C164" s="12">
        <v>695</v>
      </c>
      <c r="D164" s="12">
        <v>7</v>
      </c>
    </row>
    <row r="165" spans="1:4" ht="43.2" x14ac:dyDescent="0.3">
      <c r="A165" s="12" t="s">
        <v>14</v>
      </c>
      <c r="B165" s="12" t="s">
        <v>269</v>
      </c>
      <c r="C165" s="12">
        <v>672</v>
      </c>
      <c r="D165" s="12">
        <v>7</v>
      </c>
    </row>
    <row r="166" spans="1:4" ht="43.2" x14ac:dyDescent="0.3">
      <c r="A166" s="12" t="s">
        <v>14</v>
      </c>
      <c r="B166" s="12" t="s">
        <v>270</v>
      </c>
      <c r="C166" s="12">
        <v>661</v>
      </c>
      <c r="D166" s="12">
        <v>7</v>
      </c>
    </row>
    <row r="167" spans="1:4" ht="43.2" x14ac:dyDescent="0.3">
      <c r="A167" s="12" t="s">
        <v>14</v>
      </c>
      <c r="B167" s="12" t="s">
        <v>271</v>
      </c>
      <c r="C167" s="12">
        <v>728</v>
      </c>
      <c r="D167" s="12">
        <v>7</v>
      </c>
    </row>
    <row r="168" spans="1:4" ht="43.2" x14ac:dyDescent="0.3">
      <c r="A168" s="12" t="s">
        <v>14</v>
      </c>
      <c r="B168" s="12" t="s">
        <v>272</v>
      </c>
      <c r="C168" s="12">
        <v>1179</v>
      </c>
      <c r="D168" s="12">
        <v>12</v>
      </c>
    </row>
    <row r="169" spans="1:4" ht="43.2" x14ac:dyDescent="0.3">
      <c r="A169" s="12" t="s">
        <v>14</v>
      </c>
      <c r="B169" s="12" t="s">
        <v>273</v>
      </c>
      <c r="C169" s="12">
        <v>1012</v>
      </c>
      <c r="D169" s="12">
        <v>10</v>
      </c>
    </row>
    <row r="170" spans="1:4" ht="43.2" x14ac:dyDescent="0.3">
      <c r="A170" s="12" t="s">
        <v>14</v>
      </c>
      <c r="B170" s="12" t="s">
        <v>274</v>
      </c>
      <c r="C170" s="12">
        <v>974</v>
      </c>
      <c r="D170" s="12">
        <v>10</v>
      </c>
    </row>
    <row r="171" spans="1:4" ht="43.2" x14ac:dyDescent="0.3">
      <c r="A171" s="12" t="s">
        <v>14</v>
      </c>
      <c r="B171" s="12" t="s">
        <v>275</v>
      </c>
      <c r="C171" s="12">
        <v>1410</v>
      </c>
      <c r="D171" s="12">
        <v>14</v>
      </c>
    </row>
    <row r="172" spans="1:4" x14ac:dyDescent="0.3">
      <c r="A172" s="12" t="s">
        <v>14</v>
      </c>
      <c r="B172" s="12" t="s">
        <v>276</v>
      </c>
      <c r="C172" s="12">
        <v>740</v>
      </c>
      <c r="D172" s="12">
        <v>7</v>
      </c>
    </row>
    <row r="173" spans="1:4" ht="43.2" x14ac:dyDescent="0.3">
      <c r="A173" s="12" t="s">
        <v>14</v>
      </c>
      <c r="B173" s="12" t="s">
        <v>277</v>
      </c>
      <c r="C173" s="12">
        <v>847</v>
      </c>
      <c r="D173" s="12">
        <v>8</v>
      </c>
    </row>
    <row r="174" spans="1:4" ht="43.2" x14ac:dyDescent="0.3">
      <c r="A174" s="12" t="s">
        <v>14</v>
      </c>
      <c r="B174" s="12" t="s">
        <v>278</v>
      </c>
      <c r="C174" s="12">
        <v>345</v>
      </c>
      <c r="D174" s="12">
        <v>3</v>
      </c>
    </row>
    <row r="175" spans="1:4" ht="43.2" x14ac:dyDescent="0.3">
      <c r="A175" s="12" t="s">
        <v>14</v>
      </c>
      <c r="B175" s="12" t="s">
        <v>279</v>
      </c>
      <c r="C175" s="12">
        <v>565</v>
      </c>
      <c r="D175" s="12">
        <v>6</v>
      </c>
    </row>
    <row r="176" spans="1:4" x14ac:dyDescent="0.3">
      <c r="A176" s="12" t="s">
        <v>15</v>
      </c>
      <c r="B176" s="12" t="s">
        <v>280</v>
      </c>
      <c r="C176" s="12">
        <v>1244</v>
      </c>
      <c r="D176" s="12">
        <v>12</v>
      </c>
    </row>
    <row r="177" spans="1:4" x14ac:dyDescent="0.3">
      <c r="A177" s="12" t="s">
        <v>15</v>
      </c>
      <c r="B177" s="12" t="s">
        <v>281</v>
      </c>
      <c r="C177" s="12">
        <v>2249</v>
      </c>
      <c r="D177" s="12">
        <v>22</v>
      </c>
    </row>
    <row r="178" spans="1:4" x14ac:dyDescent="0.3">
      <c r="A178" s="12" t="s">
        <v>15</v>
      </c>
      <c r="B178" s="12" t="s">
        <v>282</v>
      </c>
      <c r="C178" s="12">
        <v>1609</v>
      </c>
      <c r="D178" s="12">
        <v>16</v>
      </c>
    </row>
    <row r="179" spans="1:4" x14ac:dyDescent="0.3">
      <c r="A179" s="12" t="s">
        <v>15</v>
      </c>
      <c r="B179" s="12" t="s">
        <v>283</v>
      </c>
      <c r="C179" s="12">
        <v>1002</v>
      </c>
      <c r="D179" s="12">
        <v>10</v>
      </c>
    </row>
    <row r="180" spans="1:4" x14ac:dyDescent="0.3">
      <c r="A180" s="12" t="s">
        <v>15</v>
      </c>
      <c r="B180" s="12" t="s">
        <v>284</v>
      </c>
      <c r="C180" s="12">
        <v>1570</v>
      </c>
      <c r="D180" s="12">
        <v>16</v>
      </c>
    </row>
    <row r="181" spans="1:4" x14ac:dyDescent="0.3">
      <c r="A181" s="12" t="s">
        <v>15</v>
      </c>
      <c r="B181" s="12" t="s">
        <v>285</v>
      </c>
      <c r="C181" s="12">
        <v>901</v>
      </c>
      <c r="D181" s="12">
        <v>9</v>
      </c>
    </row>
    <row r="182" spans="1:4" x14ac:dyDescent="0.3">
      <c r="A182" s="12" t="s">
        <v>15</v>
      </c>
      <c r="B182" s="12" t="s">
        <v>286</v>
      </c>
      <c r="C182" s="12">
        <v>1212</v>
      </c>
      <c r="D182" s="12">
        <v>12</v>
      </c>
    </row>
    <row r="183" spans="1:4" x14ac:dyDescent="0.3">
      <c r="A183" s="12" t="s">
        <v>15</v>
      </c>
      <c r="B183" s="12" t="s">
        <v>287</v>
      </c>
      <c r="C183" s="12">
        <v>1336</v>
      </c>
      <c r="D183" s="12">
        <v>13</v>
      </c>
    </row>
    <row r="184" spans="1:4" x14ac:dyDescent="0.3">
      <c r="A184" s="12" t="s">
        <v>15</v>
      </c>
      <c r="B184" s="12" t="s">
        <v>288</v>
      </c>
      <c r="C184" s="12">
        <v>1327</v>
      </c>
      <c r="D184" s="12">
        <v>13</v>
      </c>
    </row>
    <row r="185" spans="1:4" x14ac:dyDescent="0.3">
      <c r="A185" s="12" t="s">
        <v>15</v>
      </c>
      <c r="B185" s="12" t="s">
        <v>289</v>
      </c>
      <c r="C185" s="12">
        <v>1765</v>
      </c>
      <c r="D185" s="12">
        <v>18</v>
      </c>
    </row>
    <row r="186" spans="1:4" x14ac:dyDescent="0.3">
      <c r="A186" s="12" t="s">
        <v>15</v>
      </c>
      <c r="B186" s="12" t="s">
        <v>290</v>
      </c>
      <c r="C186" s="12">
        <v>1022</v>
      </c>
      <c r="D186" s="12">
        <v>10</v>
      </c>
    </row>
    <row r="187" spans="1:4" x14ac:dyDescent="0.3">
      <c r="A187" s="12" t="s">
        <v>15</v>
      </c>
      <c r="B187" s="12" t="s">
        <v>291</v>
      </c>
      <c r="C187" s="12">
        <v>823</v>
      </c>
      <c r="D187" s="12">
        <v>8</v>
      </c>
    </row>
    <row r="188" spans="1:4" x14ac:dyDescent="0.3">
      <c r="A188" s="12" t="s">
        <v>15</v>
      </c>
      <c r="B188" s="12" t="s">
        <v>292</v>
      </c>
      <c r="C188" s="12">
        <v>1396</v>
      </c>
      <c r="D188" s="12">
        <v>14</v>
      </c>
    </row>
    <row r="189" spans="1:4" x14ac:dyDescent="0.3">
      <c r="A189" s="12" t="s">
        <v>15</v>
      </c>
      <c r="B189" s="12" t="s">
        <v>293</v>
      </c>
      <c r="C189" s="12">
        <v>1453</v>
      </c>
      <c r="D189" s="12">
        <v>15</v>
      </c>
    </row>
    <row r="190" spans="1:4" x14ac:dyDescent="0.3">
      <c r="A190" s="12" t="s">
        <v>15</v>
      </c>
      <c r="B190" s="12" t="s">
        <v>294</v>
      </c>
      <c r="C190" s="12">
        <v>1254</v>
      </c>
      <c r="D190" s="12">
        <v>13</v>
      </c>
    </row>
    <row r="191" spans="1:4" x14ac:dyDescent="0.3">
      <c r="A191" s="12" t="s">
        <v>15</v>
      </c>
      <c r="B191" s="12" t="s">
        <v>295</v>
      </c>
      <c r="C191" s="12">
        <v>709</v>
      </c>
      <c r="D191" s="12">
        <v>7</v>
      </c>
    </row>
    <row r="192" spans="1:4" x14ac:dyDescent="0.3">
      <c r="A192" s="12" t="s">
        <v>15</v>
      </c>
      <c r="B192" s="12" t="s">
        <v>296</v>
      </c>
      <c r="C192" s="12">
        <v>1407</v>
      </c>
      <c r="D192" s="12">
        <v>14</v>
      </c>
    </row>
    <row r="193" spans="1:4" x14ac:dyDescent="0.3">
      <c r="A193" s="12" t="s">
        <v>15</v>
      </c>
      <c r="B193" s="12" t="s">
        <v>297</v>
      </c>
      <c r="C193" s="12">
        <v>1595</v>
      </c>
      <c r="D193" s="12">
        <v>16</v>
      </c>
    </row>
    <row r="194" spans="1:4" x14ac:dyDescent="0.3">
      <c r="A194" s="12" t="s">
        <v>15</v>
      </c>
      <c r="B194" s="12" t="s">
        <v>298</v>
      </c>
      <c r="C194" s="12">
        <v>1089</v>
      </c>
      <c r="D194" s="12">
        <v>11</v>
      </c>
    </row>
    <row r="195" spans="1:4" x14ac:dyDescent="0.3">
      <c r="A195" s="12" t="s">
        <v>15</v>
      </c>
      <c r="B195" s="12" t="s">
        <v>299</v>
      </c>
      <c r="C195" s="12">
        <v>2167</v>
      </c>
      <c r="D195" s="12">
        <v>22</v>
      </c>
    </row>
    <row r="196" spans="1:4" x14ac:dyDescent="0.3">
      <c r="A196" s="12" t="s">
        <v>15</v>
      </c>
      <c r="B196" s="12" t="s">
        <v>300</v>
      </c>
      <c r="C196" s="12">
        <v>587</v>
      </c>
      <c r="D196" s="12">
        <v>6</v>
      </c>
    </row>
    <row r="197" spans="1:4" x14ac:dyDescent="0.3">
      <c r="A197" s="12" t="s">
        <v>15</v>
      </c>
      <c r="B197" s="12" t="s">
        <v>301</v>
      </c>
      <c r="C197" s="12">
        <v>662</v>
      </c>
      <c r="D197" s="12">
        <v>7</v>
      </c>
    </row>
    <row r="198" spans="1:4" x14ac:dyDescent="0.3">
      <c r="A198" s="12" t="s">
        <v>15</v>
      </c>
      <c r="B198" s="12" t="s">
        <v>302</v>
      </c>
      <c r="C198" s="12">
        <v>1361</v>
      </c>
      <c r="D198" s="12">
        <v>14</v>
      </c>
    </row>
    <row r="199" spans="1:4" x14ac:dyDescent="0.3">
      <c r="A199" s="12" t="s">
        <v>15</v>
      </c>
      <c r="B199" s="12" t="s">
        <v>303</v>
      </c>
      <c r="C199" s="12">
        <v>1453</v>
      </c>
      <c r="D199" s="12">
        <v>15</v>
      </c>
    </row>
    <row r="200" spans="1:4" x14ac:dyDescent="0.3">
      <c r="A200" s="12" t="s">
        <v>15</v>
      </c>
      <c r="B200" s="12" t="s">
        <v>304</v>
      </c>
      <c r="C200" s="12">
        <v>281</v>
      </c>
      <c r="D200" s="12">
        <v>3</v>
      </c>
    </row>
    <row r="201" spans="1:4" x14ac:dyDescent="0.3">
      <c r="A201" s="12" t="s">
        <v>15</v>
      </c>
      <c r="B201" s="12" t="s">
        <v>305</v>
      </c>
      <c r="C201" s="12">
        <v>540</v>
      </c>
      <c r="D201" s="12">
        <v>5</v>
      </c>
    </row>
    <row r="202" spans="1:4" x14ac:dyDescent="0.3">
      <c r="A202" s="12" t="s">
        <v>15</v>
      </c>
      <c r="B202" s="12" t="s">
        <v>306</v>
      </c>
      <c r="C202" s="12">
        <v>1034</v>
      </c>
      <c r="D202" s="12">
        <v>10</v>
      </c>
    </row>
    <row r="203" spans="1:4" x14ac:dyDescent="0.3">
      <c r="A203" s="12" t="s">
        <v>15</v>
      </c>
      <c r="B203" s="12" t="s">
        <v>307</v>
      </c>
      <c r="C203" s="12">
        <v>1136</v>
      </c>
      <c r="D203" s="12">
        <v>11</v>
      </c>
    </row>
    <row r="204" spans="1:4" x14ac:dyDescent="0.3">
      <c r="A204" s="12" t="s">
        <v>15</v>
      </c>
      <c r="B204" s="12" t="s">
        <v>308</v>
      </c>
      <c r="C204" s="12">
        <v>982</v>
      </c>
      <c r="D204" s="12">
        <v>10</v>
      </c>
    </row>
    <row r="205" spans="1:4" x14ac:dyDescent="0.3">
      <c r="A205" s="12" t="s">
        <v>15</v>
      </c>
      <c r="B205" s="12" t="s">
        <v>309</v>
      </c>
      <c r="C205" s="12">
        <v>471</v>
      </c>
      <c r="D205" s="12">
        <v>5</v>
      </c>
    </row>
    <row r="206" spans="1:4" x14ac:dyDescent="0.3">
      <c r="A206" s="12" t="s">
        <v>15</v>
      </c>
      <c r="B206" s="12" t="s">
        <v>310</v>
      </c>
      <c r="C206" s="12">
        <v>1631</v>
      </c>
      <c r="D206" s="12">
        <v>16</v>
      </c>
    </row>
    <row r="207" spans="1:4" x14ac:dyDescent="0.3">
      <c r="A207" s="12" t="s">
        <v>15</v>
      </c>
      <c r="B207" s="12" t="s">
        <v>311</v>
      </c>
      <c r="C207" s="12">
        <v>1337</v>
      </c>
      <c r="D207" s="12">
        <v>13</v>
      </c>
    </row>
    <row r="208" spans="1:4" x14ac:dyDescent="0.3">
      <c r="A208" s="12" t="s">
        <v>15</v>
      </c>
      <c r="B208" s="12" t="s">
        <v>312</v>
      </c>
      <c r="C208" s="12">
        <v>853</v>
      </c>
      <c r="D208" s="12">
        <v>9</v>
      </c>
    </row>
    <row r="209" spans="1:4" x14ac:dyDescent="0.3">
      <c r="A209" s="12" t="s">
        <v>15</v>
      </c>
      <c r="B209" s="12" t="s">
        <v>313</v>
      </c>
      <c r="C209" s="12">
        <v>1045</v>
      </c>
      <c r="D209" s="12">
        <v>10</v>
      </c>
    </row>
    <row r="210" spans="1:4" x14ac:dyDescent="0.3">
      <c r="A210" s="12" t="s">
        <v>15</v>
      </c>
      <c r="B210" s="12" t="s">
        <v>314</v>
      </c>
      <c r="C210" s="12">
        <v>549</v>
      </c>
      <c r="D210" s="12">
        <v>5</v>
      </c>
    </row>
    <row r="211" spans="1:4" x14ac:dyDescent="0.3">
      <c r="A211" s="12" t="s">
        <v>15</v>
      </c>
      <c r="B211" s="12" t="s">
        <v>315</v>
      </c>
      <c r="C211" s="12">
        <v>725</v>
      </c>
      <c r="D211" s="12">
        <v>7</v>
      </c>
    </row>
    <row r="212" spans="1:4" x14ac:dyDescent="0.3">
      <c r="A212" s="12" t="s">
        <v>15</v>
      </c>
      <c r="B212" s="12" t="s">
        <v>316</v>
      </c>
      <c r="C212" s="12">
        <v>576</v>
      </c>
      <c r="D212" s="12">
        <v>6</v>
      </c>
    </row>
    <row r="213" spans="1:4" x14ac:dyDescent="0.3">
      <c r="A213" s="12" t="s">
        <v>15</v>
      </c>
      <c r="B213" s="12" t="s">
        <v>317</v>
      </c>
      <c r="C213" s="12">
        <v>796</v>
      </c>
      <c r="D213" s="12">
        <v>8</v>
      </c>
    </row>
    <row r="214" spans="1:4" x14ac:dyDescent="0.3">
      <c r="A214" s="12" t="s">
        <v>15</v>
      </c>
      <c r="B214" s="12" t="s">
        <v>318</v>
      </c>
      <c r="C214" s="12">
        <v>573</v>
      </c>
      <c r="D214" s="12">
        <v>6</v>
      </c>
    </row>
    <row r="215" spans="1:4" x14ac:dyDescent="0.3">
      <c r="A215" s="12" t="s">
        <v>15</v>
      </c>
      <c r="B215" s="12" t="s">
        <v>319</v>
      </c>
      <c r="C215" s="12">
        <v>817</v>
      </c>
      <c r="D215" s="12">
        <v>8</v>
      </c>
    </row>
    <row r="216" spans="1:4" x14ac:dyDescent="0.3">
      <c r="A216" s="12" t="s">
        <v>15</v>
      </c>
      <c r="B216" s="12" t="s">
        <v>320</v>
      </c>
      <c r="C216" s="12">
        <v>748</v>
      </c>
      <c r="D216" s="12">
        <v>7</v>
      </c>
    </row>
    <row r="217" spans="1:4" x14ac:dyDescent="0.3">
      <c r="A217" s="12" t="s">
        <v>15</v>
      </c>
      <c r="B217" s="12" t="s">
        <v>321</v>
      </c>
      <c r="C217" s="12">
        <v>508</v>
      </c>
      <c r="D217" s="12">
        <v>5</v>
      </c>
    </row>
    <row r="218" spans="1:4" x14ac:dyDescent="0.3">
      <c r="A218" s="12" t="s">
        <v>15</v>
      </c>
      <c r="B218" s="12" t="s">
        <v>322</v>
      </c>
      <c r="C218" s="12">
        <v>532</v>
      </c>
      <c r="D218" s="12">
        <v>5</v>
      </c>
    </row>
    <row r="219" spans="1:4" x14ac:dyDescent="0.3">
      <c r="A219" s="12" t="s">
        <v>15</v>
      </c>
      <c r="B219" s="12" t="s">
        <v>323</v>
      </c>
      <c r="C219" s="12">
        <v>989</v>
      </c>
      <c r="D219" s="12">
        <v>10</v>
      </c>
    </row>
    <row r="220" spans="1:4" x14ac:dyDescent="0.3">
      <c r="A220" s="12" t="s">
        <v>15</v>
      </c>
      <c r="B220" s="12" t="s">
        <v>324</v>
      </c>
      <c r="C220" s="12">
        <v>642</v>
      </c>
      <c r="D220" s="12">
        <v>6</v>
      </c>
    </row>
    <row r="221" spans="1:4" x14ac:dyDescent="0.3">
      <c r="A221" s="12" t="s">
        <v>15</v>
      </c>
      <c r="B221" s="12" t="s">
        <v>325</v>
      </c>
      <c r="C221" s="12">
        <v>934</v>
      </c>
      <c r="D221" s="12">
        <v>9</v>
      </c>
    </row>
    <row r="222" spans="1:4" x14ac:dyDescent="0.3">
      <c r="A222" s="12" t="s">
        <v>15</v>
      </c>
      <c r="B222" s="12" t="s">
        <v>326</v>
      </c>
      <c r="C222" s="12">
        <v>1069</v>
      </c>
      <c r="D222" s="12">
        <v>11</v>
      </c>
    </row>
    <row r="223" spans="1:4" x14ac:dyDescent="0.3">
      <c r="A223" s="12" t="s">
        <v>15</v>
      </c>
      <c r="B223" s="12" t="s">
        <v>327</v>
      </c>
      <c r="C223" s="12">
        <v>867</v>
      </c>
      <c r="D223" s="12">
        <v>9</v>
      </c>
    </row>
    <row r="224" spans="1:4" x14ac:dyDescent="0.3">
      <c r="A224" s="12" t="s">
        <v>15</v>
      </c>
      <c r="B224" s="12" t="s">
        <v>328</v>
      </c>
      <c r="C224" s="12">
        <v>784</v>
      </c>
      <c r="D224" s="12">
        <v>8</v>
      </c>
    </row>
    <row r="225" spans="1:4" x14ac:dyDescent="0.3">
      <c r="A225" s="12" t="s">
        <v>15</v>
      </c>
      <c r="B225" s="12" t="s">
        <v>329</v>
      </c>
      <c r="C225" s="12">
        <v>638</v>
      </c>
      <c r="D225" s="12">
        <v>6</v>
      </c>
    </row>
    <row r="226" spans="1:4" x14ac:dyDescent="0.3">
      <c r="A226" s="12" t="s">
        <v>15</v>
      </c>
      <c r="B226" s="12" t="s">
        <v>330</v>
      </c>
      <c r="C226" s="12">
        <v>1796</v>
      </c>
      <c r="D226" s="12">
        <v>18</v>
      </c>
    </row>
    <row r="227" spans="1:4" x14ac:dyDescent="0.3">
      <c r="A227" s="12" t="s">
        <v>15</v>
      </c>
      <c r="B227" s="12" t="s">
        <v>331</v>
      </c>
      <c r="C227" s="12">
        <v>1315</v>
      </c>
      <c r="D227" s="12">
        <v>13</v>
      </c>
    </row>
    <row r="228" spans="1:4" x14ac:dyDescent="0.3">
      <c r="A228" s="12" t="s">
        <v>15</v>
      </c>
      <c r="B228" s="12" t="s">
        <v>332</v>
      </c>
      <c r="C228" s="12">
        <v>533</v>
      </c>
      <c r="D228" s="12">
        <v>5</v>
      </c>
    </row>
    <row r="229" spans="1:4" x14ac:dyDescent="0.3">
      <c r="A229" s="12" t="s">
        <v>15</v>
      </c>
      <c r="B229" s="12" t="s">
        <v>333</v>
      </c>
      <c r="C229" s="12">
        <v>1089</v>
      </c>
      <c r="D229" s="12">
        <v>11</v>
      </c>
    </row>
    <row r="230" spans="1:4" x14ac:dyDescent="0.3">
      <c r="A230" s="12" t="s">
        <v>15</v>
      </c>
      <c r="B230" s="12" t="s">
        <v>334</v>
      </c>
      <c r="C230" s="12">
        <v>1072</v>
      </c>
      <c r="D230" s="12">
        <v>11</v>
      </c>
    </row>
    <row r="231" spans="1:4" x14ac:dyDescent="0.3">
      <c r="A231" s="12" t="s">
        <v>15</v>
      </c>
      <c r="B231" s="12" t="s">
        <v>335</v>
      </c>
      <c r="C231" s="12">
        <v>1066</v>
      </c>
      <c r="D231" s="12">
        <v>11</v>
      </c>
    </row>
    <row r="232" spans="1:4" x14ac:dyDescent="0.3">
      <c r="A232" s="12" t="s">
        <v>15</v>
      </c>
      <c r="B232" s="12" t="s">
        <v>336</v>
      </c>
      <c r="C232" s="12">
        <v>416</v>
      </c>
      <c r="D232" s="12">
        <v>4</v>
      </c>
    </row>
    <row r="233" spans="1:4" x14ac:dyDescent="0.3">
      <c r="A233" s="12" t="s">
        <v>15</v>
      </c>
      <c r="B233" s="12" t="s">
        <v>337</v>
      </c>
      <c r="C233" s="12">
        <v>665</v>
      </c>
      <c r="D233" s="12">
        <v>7</v>
      </c>
    </row>
    <row r="234" spans="1:4" x14ac:dyDescent="0.3">
      <c r="A234" s="12" t="s">
        <v>15</v>
      </c>
      <c r="B234" s="12" t="s">
        <v>338</v>
      </c>
      <c r="C234" s="12">
        <v>977</v>
      </c>
      <c r="D234" s="12">
        <v>10</v>
      </c>
    </row>
    <row r="235" spans="1:4" x14ac:dyDescent="0.3">
      <c r="A235" s="12" t="s">
        <v>15</v>
      </c>
      <c r="B235" s="12" t="s">
        <v>339</v>
      </c>
      <c r="C235" s="12">
        <v>796</v>
      </c>
      <c r="D235" s="12">
        <v>8</v>
      </c>
    </row>
    <row r="236" spans="1:4" x14ac:dyDescent="0.3">
      <c r="A236" s="12" t="s">
        <v>15</v>
      </c>
      <c r="B236" s="12" t="s">
        <v>340</v>
      </c>
      <c r="C236" s="12">
        <v>1385</v>
      </c>
      <c r="D236" s="12">
        <v>14</v>
      </c>
    </row>
    <row r="237" spans="1:4" x14ac:dyDescent="0.3">
      <c r="A237" s="12" t="s">
        <v>15</v>
      </c>
      <c r="B237" s="12" t="s">
        <v>341</v>
      </c>
      <c r="C237" s="12">
        <v>1192</v>
      </c>
      <c r="D237" s="12">
        <v>12</v>
      </c>
    </row>
    <row r="238" spans="1:4" x14ac:dyDescent="0.3">
      <c r="A238" s="12" t="s">
        <v>15</v>
      </c>
      <c r="B238" s="12" t="s">
        <v>342</v>
      </c>
      <c r="C238" s="12">
        <v>950</v>
      </c>
      <c r="D238" s="12">
        <v>10</v>
      </c>
    </row>
    <row r="239" spans="1:4" x14ac:dyDescent="0.3">
      <c r="A239" s="12" t="s">
        <v>15</v>
      </c>
      <c r="B239" s="12" t="s">
        <v>343</v>
      </c>
      <c r="C239" s="12">
        <v>1065</v>
      </c>
      <c r="D239" s="12">
        <v>11</v>
      </c>
    </row>
    <row r="240" spans="1:4" x14ac:dyDescent="0.3">
      <c r="A240" s="12" t="s">
        <v>15</v>
      </c>
      <c r="B240" s="12" t="s">
        <v>344</v>
      </c>
      <c r="C240" s="12">
        <v>755</v>
      </c>
      <c r="D240" s="12">
        <v>8</v>
      </c>
    </row>
    <row r="241" spans="1:4" x14ac:dyDescent="0.3">
      <c r="A241" s="12" t="s">
        <v>15</v>
      </c>
      <c r="B241" s="12" t="s">
        <v>345</v>
      </c>
      <c r="C241" s="12">
        <v>1465</v>
      </c>
      <c r="D241" s="12">
        <v>15</v>
      </c>
    </row>
    <row r="242" spans="1:4" x14ac:dyDescent="0.3">
      <c r="A242" s="12" t="s">
        <v>15</v>
      </c>
      <c r="B242" s="12" t="s">
        <v>346</v>
      </c>
      <c r="C242" s="12">
        <v>656</v>
      </c>
      <c r="D242" s="12">
        <v>7</v>
      </c>
    </row>
    <row r="243" spans="1:4" x14ac:dyDescent="0.3">
      <c r="A243" s="12" t="s">
        <v>15</v>
      </c>
      <c r="B243" s="12" t="s">
        <v>347</v>
      </c>
      <c r="C243" s="12">
        <v>690</v>
      </c>
      <c r="D243" s="12">
        <v>7</v>
      </c>
    </row>
    <row r="244" spans="1:4" x14ac:dyDescent="0.3">
      <c r="A244" s="12" t="s">
        <v>15</v>
      </c>
      <c r="B244" s="12" t="s">
        <v>348</v>
      </c>
      <c r="C244" s="12">
        <v>1037</v>
      </c>
      <c r="D244" s="12">
        <v>10</v>
      </c>
    </row>
    <row r="245" spans="1:4" x14ac:dyDescent="0.3">
      <c r="A245" s="12" t="s">
        <v>15</v>
      </c>
      <c r="B245" s="12" t="s">
        <v>349</v>
      </c>
      <c r="C245" s="12">
        <v>1070</v>
      </c>
      <c r="D245" s="12">
        <v>11</v>
      </c>
    </row>
    <row r="246" spans="1:4" x14ac:dyDescent="0.3">
      <c r="A246" s="12" t="s">
        <v>15</v>
      </c>
      <c r="B246" s="12" t="s">
        <v>350</v>
      </c>
      <c r="C246" s="12">
        <v>183</v>
      </c>
      <c r="D246" s="12">
        <v>2</v>
      </c>
    </row>
    <row r="247" spans="1:4" x14ac:dyDescent="0.3">
      <c r="A247" s="12" t="s">
        <v>15</v>
      </c>
      <c r="B247" s="12" t="s">
        <v>351</v>
      </c>
      <c r="C247" s="12">
        <v>681</v>
      </c>
      <c r="D247" s="12">
        <v>7</v>
      </c>
    </row>
    <row r="248" spans="1:4" x14ac:dyDescent="0.3">
      <c r="A248" s="12" t="s">
        <v>15</v>
      </c>
      <c r="B248" s="12" t="s">
        <v>352</v>
      </c>
      <c r="C248" s="12">
        <v>1352</v>
      </c>
      <c r="D248" s="12">
        <v>14</v>
      </c>
    </row>
    <row r="249" spans="1:4" x14ac:dyDescent="0.3">
      <c r="A249" s="12" t="s">
        <v>15</v>
      </c>
      <c r="B249" s="12" t="s">
        <v>353</v>
      </c>
      <c r="C249" s="12">
        <v>727</v>
      </c>
      <c r="D249" s="12">
        <v>7</v>
      </c>
    </row>
    <row r="250" spans="1:4" x14ac:dyDescent="0.3">
      <c r="A250" s="12" t="s">
        <v>15</v>
      </c>
      <c r="B250" s="12" t="s">
        <v>354</v>
      </c>
      <c r="C250" s="12">
        <v>1229</v>
      </c>
      <c r="D250" s="12">
        <v>12</v>
      </c>
    </row>
    <row r="251" spans="1:4" x14ac:dyDescent="0.3">
      <c r="A251" s="12" t="s">
        <v>15</v>
      </c>
      <c r="B251" s="12" t="s">
        <v>355</v>
      </c>
      <c r="C251" s="12">
        <v>1340</v>
      </c>
      <c r="D251" s="12">
        <v>13</v>
      </c>
    </row>
    <row r="252" spans="1:4" x14ac:dyDescent="0.3">
      <c r="A252" s="12" t="s">
        <v>15</v>
      </c>
      <c r="B252" s="12" t="s">
        <v>356</v>
      </c>
      <c r="C252" s="12">
        <v>120</v>
      </c>
      <c r="D252" s="12">
        <v>1</v>
      </c>
    </row>
    <row r="253" spans="1:4" x14ac:dyDescent="0.3">
      <c r="A253" s="12" t="s">
        <v>15</v>
      </c>
      <c r="B253" s="12" t="s">
        <v>357</v>
      </c>
      <c r="C253" s="12">
        <v>1022</v>
      </c>
      <c r="D253" s="12">
        <v>10</v>
      </c>
    </row>
    <row r="254" spans="1:4" x14ac:dyDescent="0.3">
      <c r="A254" s="12" t="s">
        <v>15</v>
      </c>
      <c r="B254" s="12" t="s">
        <v>358</v>
      </c>
      <c r="C254" s="12">
        <v>1373</v>
      </c>
      <c r="D254" s="12">
        <v>14</v>
      </c>
    </row>
    <row r="255" spans="1:4" x14ac:dyDescent="0.3">
      <c r="A255" s="12" t="s">
        <v>15</v>
      </c>
      <c r="B255" s="12" t="s">
        <v>359</v>
      </c>
      <c r="C255" s="12">
        <v>1605</v>
      </c>
      <c r="D255" s="12">
        <v>16</v>
      </c>
    </row>
    <row r="256" spans="1:4" ht="43.2" x14ac:dyDescent="0.3">
      <c r="A256" s="12" t="s">
        <v>16</v>
      </c>
      <c r="B256" s="12" t="s">
        <v>360</v>
      </c>
      <c r="C256" s="12">
        <v>187</v>
      </c>
      <c r="D256" s="12">
        <v>2</v>
      </c>
    </row>
    <row r="257" spans="1:4" ht="43.2" x14ac:dyDescent="0.3">
      <c r="A257" s="12" t="s">
        <v>16</v>
      </c>
      <c r="B257" s="12" t="s">
        <v>361</v>
      </c>
      <c r="C257" s="12">
        <v>428</v>
      </c>
      <c r="D257" s="12">
        <v>4</v>
      </c>
    </row>
    <row r="258" spans="1:4" ht="28.8" x14ac:dyDescent="0.3">
      <c r="A258" s="12" t="s">
        <v>16</v>
      </c>
      <c r="B258" s="12" t="s">
        <v>362</v>
      </c>
      <c r="C258" s="12">
        <v>718</v>
      </c>
      <c r="D258" s="12">
        <v>7</v>
      </c>
    </row>
    <row r="259" spans="1:4" ht="28.8" x14ac:dyDescent="0.3">
      <c r="A259" s="12" t="s">
        <v>16</v>
      </c>
      <c r="B259" s="12" t="s">
        <v>363</v>
      </c>
      <c r="C259" s="12">
        <v>203</v>
      </c>
      <c r="D259" s="12">
        <v>2</v>
      </c>
    </row>
    <row r="260" spans="1:4" ht="28.8" x14ac:dyDescent="0.3">
      <c r="A260" s="12" t="s">
        <v>16</v>
      </c>
      <c r="B260" s="12" t="s">
        <v>364</v>
      </c>
      <c r="C260" s="12">
        <v>366</v>
      </c>
      <c r="D260" s="12">
        <v>4</v>
      </c>
    </row>
    <row r="261" spans="1:4" ht="28.8" x14ac:dyDescent="0.3">
      <c r="A261" s="12" t="s">
        <v>16</v>
      </c>
      <c r="B261" s="12" t="s">
        <v>365</v>
      </c>
      <c r="C261" s="12">
        <v>176</v>
      </c>
      <c r="D261" s="12">
        <v>2</v>
      </c>
    </row>
    <row r="262" spans="1:4" ht="28.8" x14ac:dyDescent="0.3">
      <c r="A262" s="12" t="s">
        <v>16</v>
      </c>
      <c r="B262" s="12" t="s">
        <v>366</v>
      </c>
      <c r="C262" s="12">
        <v>356</v>
      </c>
      <c r="D262" s="12">
        <v>4</v>
      </c>
    </row>
    <row r="263" spans="1:4" ht="28.8" x14ac:dyDescent="0.3">
      <c r="A263" s="12" t="s">
        <v>16</v>
      </c>
      <c r="B263" s="12" t="s">
        <v>367</v>
      </c>
      <c r="C263" s="12">
        <v>229</v>
      </c>
      <c r="D263" s="12">
        <v>2</v>
      </c>
    </row>
    <row r="264" spans="1:4" ht="28.8" x14ac:dyDescent="0.3">
      <c r="A264" s="12" t="s">
        <v>16</v>
      </c>
      <c r="B264" s="12" t="s">
        <v>368</v>
      </c>
      <c r="C264" s="12">
        <v>218</v>
      </c>
      <c r="D264" s="12">
        <v>2</v>
      </c>
    </row>
    <row r="265" spans="1:4" ht="28.8" x14ac:dyDescent="0.3">
      <c r="A265" s="12" t="s">
        <v>16</v>
      </c>
      <c r="B265" s="12" t="s">
        <v>369</v>
      </c>
      <c r="C265" s="12">
        <v>132</v>
      </c>
      <c r="D265" s="12">
        <v>1</v>
      </c>
    </row>
    <row r="266" spans="1:4" ht="43.2" x14ac:dyDescent="0.3">
      <c r="A266" s="12" t="s">
        <v>16</v>
      </c>
      <c r="B266" s="12" t="s">
        <v>370</v>
      </c>
      <c r="C266" s="12">
        <v>161</v>
      </c>
      <c r="D266" s="12">
        <v>2</v>
      </c>
    </row>
    <row r="267" spans="1:4" ht="43.2" x14ac:dyDescent="0.3">
      <c r="A267" s="12" t="s">
        <v>16</v>
      </c>
      <c r="B267" s="12" t="s">
        <v>371</v>
      </c>
      <c r="C267" s="12">
        <v>291</v>
      </c>
      <c r="D267" s="12">
        <v>3</v>
      </c>
    </row>
    <row r="268" spans="1:4" ht="43.2" x14ac:dyDescent="0.3">
      <c r="A268" s="12" t="s">
        <v>16</v>
      </c>
      <c r="B268" s="12" t="s">
        <v>372</v>
      </c>
      <c r="C268" s="12">
        <v>325</v>
      </c>
      <c r="D268" s="12">
        <v>3</v>
      </c>
    </row>
    <row r="269" spans="1:4" ht="43.2" x14ac:dyDescent="0.3">
      <c r="A269" s="12" t="s">
        <v>16</v>
      </c>
      <c r="B269" s="12" t="s">
        <v>373</v>
      </c>
      <c r="C269" s="12">
        <v>373</v>
      </c>
      <c r="D269" s="12">
        <v>4</v>
      </c>
    </row>
    <row r="270" spans="1:4" ht="43.2" x14ac:dyDescent="0.3">
      <c r="A270" s="12" t="s">
        <v>16</v>
      </c>
      <c r="B270" s="12" t="s">
        <v>374</v>
      </c>
      <c r="C270" s="12">
        <v>595</v>
      </c>
      <c r="D270" s="12">
        <v>6</v>
      </c>
    </row>
    <row r="271" spans="1:4" ht="28.8" x14ac:dyDescent="0.3">
      <c r="A271" s="12" t="s">
        <v>16</v>
      </c>
      <c r="B271" s="12" t="s">
        <v>375</v>
      </c>
      <c r="C271" s="12">
        <v>142</v>
      </c>
      <c r="D271" s="12">
        <v>1</v>
      </c>
    </row>
    <row r="272" spans="1:4" ht="28.8" x14ac:dyDescent="0.3">
      <c r="A272" s="12" t="s">
        <v>16</v>
      </c>
      <c r="B272" s="12" t="s">
        <v>376</v>
      </c>
      <c r="C272" s="12">
        <v>193</v>
      </c>
      <c r="D272" s="12">
        <v>2</v>
      </c>
    </row>
    <row r="273" spans="1:4" ht="43.2" x14ac:dyDescent="0.3">
      <c r="A273" s="12" t="s">
        <v>16</v>
      </c>
      <c r="B273" s="12" t="s">
        <v>377</v>
      </c>
      <c r="C273" s="12">
        <v>827</v>
      </c>
      <c r="D273" s="12">
        <v>8</v>
      </c>
    </row>
    <row r="274" spans="1:4" ht="43.2" x14ac:dyDescent="0.3">
      <c r="A274" s="12" t="s">
        <v>16</v>
      </c>
      <c r="B274" s="12" t="s">
        <v>378</v>
      </c>
      <c r="C274" s="12">
        <v>759</v>
      </c>
      <c r="D274" s="12">
        <v>8</v>
      </c>
    </row>
    <row r="275" spans="1:4" ht="43.2" x14ac:dyDescent="0.3">
      <c r="A275" s="12" t="s">
        <v>16</v>
      </c>
      <c r="B275" s="12" t="s">
        <v>379</v>
      </c>
      <c r="C275" s="12">
        <v>536</v>
      </c>
      <c r="D275" s="12">
        <v>5</v>
      </c>
    </row>
    <row r="276" spans="1:4" ht="43.2" x14ac:dyDescent="0.3">
      <c r="A276" s="12" t="s">
        <v>16</v>
      </c>
      <c r="B276" s="12" t="s">
        <v>380</v>
      </c>
      <c r="C276" s="12">
        <v>459</v>
      </c>
      <c r="D276" s="12">
        <v>5</v>
      </c>
    </row>
    <row r="277" spans="1:4" ht="43.2" x14ac:dyDescent="0.3">
      <c r="A277" s="12" t="s">
        <v>16</v>
      </c>
      <c r="B277" s="12" t="s">
        <v>381</v>
      </c>
      <c r="C277" s="12">
        <v>577</v>
      </c>
      <c r="D277" s="12">
        <v>6</v>
      </c>
    </row>
    <row r="278" spans="1:4" ht="43.2" x14ac:dyDescent="0.3">
      <c r="A278" s="12" t="s">
        <v>16</v>
      </c>
      <c r="B278" s="12" t="s">
        <v>382</v>
      </c>
      <c r="C278" s="12">
        <v>573</v>
      </c>
      <c r="D278" s="12">
        <v>6</v>
      </c>
    </row>
    <row r="279" spans="1:4" ht="43.2" x14ac:dyDescent="0.3">
      <c r="A279" s="12" t="s">
        <v>16</v>
      </c>
      <c r="B279" s="12" t="s">
        <v>383</v>
      </c>
      <c r="C279" s="12">
        <v>431</v>
      </c>
      <c r="D279" s="12">
        <v>4</v>
      </c>
    </row>
    <row r="280" spans="1:4" ht="57.6" x14ac:dyDescent="0.3">
      <c r="A280" s="12" t="s">
        <v>16</v>
      </c>
      <c r="B280" s="12" t="s">
        <v>384</v>
      </c>
      <c r="C280" s="12">
        <v>702</v>
      </c>
      <c r="D280" s="12">
        <v>7</v>
      </c>
    </row>
    <row r="281" spans="1:4" ht="57.6" x14ac:dyDescent="0.3">
      <c r="A281" s="12" t="s">
        <v>16</v>
      </c>
      <c r="B281" s="12" t="s">
        <v>385</v>
      </c>
      <c r="C281" s="12">
        <v>386</v>
      </c>
      <c r="D281" s="12">
        <v>4</v>
      </c>
    </row>
    <row r="282" spans="1:4" ht="57.6" x14ac:dyDescent="0.3">
      <c r="A282" s="12" t="s">
        <v>16</v>
      </c>
      <c r="B282" s="12" t="s">
        <v>386</v>
      </c>
      <c r="C282" s="12">
        <v>639</v>
      </c>
      <c r="D282" s="12">
        <v>6</v>
      </c>
    </row>
    <row r="283" spans="1:4" x14ac:dyDescent="0.3">
      <c r="A283" s="12" t="s">
        <v>16</v>
      </c>
      <c r="B283" s="12" t="s">
        <v>387</v>
      </c>
      <c r="C283" s="12">
        <v>522</v>
      </c>
      <c r="D283" s="12">
        <v>5</v>
      </c>
    </row>
    <row r="284" spans="1:4" ht="28.8" x14ac:dyDescent="0.3">
      <c r="A284" s="12" t="s">
        <v>16</v>
      </c>
      <c r="B284" s="12" t="s">
        <v>388</v>
      </c>
      <c r="C284" s="12">
        <v>807</v>
      </c>
      <c r="D284" s="12">
        <v>8</v>
      </c>
    </row>
    <row r="285" spans="1:4" ht="28.8" x14ac:dyDescent="0.3">
      <c r="A285" s="12" t="s">
        <v>16</v>
      </c>
      <c r="B285" s="12" t="s">
        <v>389</v>
      </c>
      <c r="C285" s="12">
        <v>333</v>
      </c>
      <c r="D285" s="12">
        <v>3</v>
      </c>
    </row>
    <row r="286" spans="1:4" ht="28.8" x14ac:dyDescent="0.3">
      <c r="A286" s="12" t="s">
        <v>16</v>
      </c>
      <c r="B286" s="12" t="s">
        <v>390</v>
      </c>
      <c r="C286" s="12">
        <v>391</v>
      </c>
      <c r="D286" s="12">
        <v>4</v>
      </c>
    </row>
    <row r="287" spans="1:4" ht="28.8" x14ac:dyDescent="0.3">
      <c r="A287" s="12" t="s">
        <v>16</v>
      </c>
      <c r="B287" s="12" t="s">
        <v>391</v>
      </c>
      <c r="C287" s="12">
        <v>187</v>
      </c>
      <c r="D287" s="12">
        <v>2</v>
      </c>
    </row>
    <row r="288" spans="1:4" ht="28.8" x14ac:dyDescent="0.3">
      <c r="A288" s="12" t="s">
        <v>16</v>
      </c>
      <c r="B288" s="12" t="s">
        <v>392</v>
      </c>
      <c r="C288" s="12">
        <v>150</v>
      </c>
      <c r="D288" s="12">
        <v>2</v>
      </c>
    </row>
    <row r="289" spans="1:4" x14ac:dyDescent="0.3">
      <c r="A289" s="12" t="s">
        <v>17</v>
      </c>
      <c r="B289" s="12" t="s">
        <v>393</v>
      </c>
      <c r="C289" s="12">
        <v>544</v>
      </c>
      <c r="D289" s="12">
        <v>5</v>
      </c>
    </row>
    <row r="290" spans="1:4" x14ac:dyDescent="0.3">
      <c r="A290" s="12" t="s">
        <v>17</v>
      </c>
      <c r="B290" s="12" t="s">
        <v>394</v>
      </c>
      <c r="C290" s="12">
        <v>1644</v>
      </c>
      <c r="D290" s="12">
        <v>16</v>
      </c>
    </row>
    <row r="291" spans="1:4" x14ac:dyDescent="0.3">
      <c r="A291" s="12" t="s">
        <v>17</v>
      </c>
      <c r="B291" s="12" t="s">
        <v>395</v>
      </c>
      <c r="C291" s="12">
        <v>1156</v>
      </c>
      <c r="D291" s="12">
        <v>12</v>
      </c>
    </row>
    <row r="292" spans="1:4" x14ac:dyDescent="0.3">
      <c r="A292" s="12" t="s">
        <v>17</v>
      </c>
      <c r="B292" s="12" t="s">
        <v>396</v>
      </c>
      <c r="C292" s="12">
        <v>659</v>
      </c>
      <c r="D292" s="12">
        <v>7</v>
      </c>
    </row>
    <row r="293" spans="1:4" x14ac:dyDescent="0.3">
      <c r="A293" s="12" t="s">
        <v>17</v>
      </c>
      <c r="B293" s="12" t="s">
        <v>397</v>
      </c>
      <c r="C293" s="12">
        <v>1288</v>
      </c>
      <c r="D293" s="12">
        <v>13</v>
      </c>
    </row>
    <row r="294" spans="1:4" x14ac:dyDescent="0.3">
      <c r="A294" s="12" t="s">
        <v>17</v>
      </c>
      <c r="B294" s="12" t="s">
        <v>398</v>
      </c>
      <c r="C294" s="12">
        <v>224</v>
      </c>
      <c r="D294" s="12">
        <v>2</v>
      </c>
    </row>
    <row r="295" spans="1:4" x14ac:dyDescent="0.3">
      <c r="A295" s="12" t="s">
        <v>17</v>
      </c>
      <c r="B295" s="12" t="s">
        <v>399</v>
      </c>
      <c r="C295" s="12">
        <v>862</v>
      </c>
      <c r="D295" s="12">
        <v>9</v>
      </c>
    </row>
    <row r="296" spans="1:4" x14ac:dyDescent="0.3">
      <c r="A296" s="12" t="s">
        <v>17</v>
      </c>
      <c r="B296" s="12" t="s">
        <v>400</v>
      </c>
      <c r="C296" s="12">
        <v>749</v>
      </c>
      <c r="D296" s="12">
        <v>7</v>
      </c>
    </row>
    <row r="297" spans="1:4" x14ac:dyDescent="0.3">
      <c r="A297" s="12" t="s">
        <v>17</v>
      </c>
      <c r="B297" s="12" t="s">
        <v>401</v>
      </c>
      <c r="C297" s="12">
        <v>1373</v>
      </c>
      <c r="D297" s="12">
        <v>14</v>
      </c>
    </row>
    <row r="298" spans="1:4" x14ac:dyDescent="0.3">
      <c r="A298" s="12" t="s">
        <v>17</v>
      </c>
      <c r="B298" s="12" t="s">
        <v>402</v>
      </c>
      <c r="C298" s="12">
        <v>1632</v>
      </c>
      <c r="D298" s="12">
        <v>16</v>
      </c>
    </row>
    <row r="299" spans="1:4" x14ac:dyDescent="0.3">
      <c r="A299" s="12" t="s">
        <v>17</v>
      </c>
      <c r="B299" s="12" t="s">
        <v>403</v>
      </c>
      <c r="C299" s="12">
        <v>1180</v>
      </c>
      <c r="D299" s="12">
        <v>12</v>
      </c>
    </row>
    <row r="300" spans="1:4" x14ac:dyDescent="0.3">
      <c r="A300" s="12" t="s">
        <v>17</v>
      </c>
      <c r="B300" s="12" t="s">
        <v>404</v>
      </c>
      <c r="C300" s="12">
        <v>1184</v>
      </c>
      <c r="D300" s="12">
        <v>12</v>
      </c>
    </row>
    <row r="301" spans="1:4" x14ac:dyDescent="0.3">
      <c r="A301" s="12" t="s">
        <v>17</v>
      </c>
      <c r="B301" s="12" t="s">
        <v>405</v>
      </c>
      <c r="C301" s="12">
        <v>898</v>
      </c>
      <c r="D301" s="12">
        <v>9</v>
      </c>
    </row>
    <row r="302" spans="1:4" x14ac:dyDescent="0.3">
      <c r="A302" s="12" t="s">
        <v>17</v>
      </c>
      <c r="B302" s="12" t="s">
        <v>406</v>
      </c>
      <c r="C302" s="12">
        <v>2254</v>
      </c>
      <c r="D302" s="12">
        <v>23</v>
      </c>
    </row>
    <row r="303" spans="1:4" x14ac:dyDescent="0.3">
      <c r="A303" s="12" t="s">
        <v>17</v>
      </c>
      <c r="B303" s="12" t="s">
        <v>407</v>
      </c>
      <c r="C303" s="12">
        <v>2489</v>
      </c>
      <c r="D303" s="12">
        <v>25</v>
      </c>
    </row>
    <row r="304" spans="1:4" x14ac:dyDescent="0.3">
      <c r="A304" s="12" t="s">
        <v>17</v>
      </c>
      <c r="B304" s="12" t="s">
        <v>408</v>
      </c>
      <c r="C304" s="12">
        <v>1326</v>
      </c>
      <c r="D304" s="12">
        <v>13</v>
      </c>
    </row>
    <row r="305" spans="1:4" x14ac:dyDescent="0.3">
      <c r="A305" s="12" t="s">
        <v>17</v>
      </c>
      <c r="B305" s="12" t="s">
        <v>409</v>
      </c>
      <c r="C305" s="12">
        <v>952</v>
      </c>
      <c r="D305" s="12">
        <v>10</v>
      </c>
    </row>
    <row r="306" spans="1:4" x14ac:dyDescent="0.3">
      <c r="A306" s="12" t="s">
        <v>17</v>
      </c>
      <c r="B306" s="12" t="s">
        <v>410</v>
      </c>
      <c r="C306" s="12">
        <v>963</v>
      </c>
      <c r="D306" s="12">
        <v>10</v>
      </c>
    </row>
    <row r="307" spans="1:4" x14ac:dyDescent="0.3">
      <c r="A307" s="12" t="s">
        <v>17</v>
      </c>
      <c r="B307" s="12" t="s">
        <v>411</v>
      </c>
      <c r="C307" s="12">
        <v>908</v>
      </c>
      <c r="D307" s="12">
        <v>9</v>
      </c>
    </row>
    <row r="308" spans="1:4" x14ac:dyDescent="0.3">
      <c r="A308" s="12" t="s">
        <v>17</v>
      </c>
      <c r="B308" s="12" t="s">
        <v>412</v>
      </c>
      <c r="C308" s="12">
        <v>518</v>
      </c>
      <c r="D308" s="12">
        <v>5</v>
      </c>
    </row>
    <row r="309" spans="1:4" x14ac:dyDescent="0.3">
      <c r="A309" s="12" t="s">
        <v>17</v>
      </c>
      <c r="B309" s="12" t="s">
        <v>413</v>
      </c>
      <c r="C309" s="12">
        <v>459</v>
      </c>
      <c r="D309" s="12">
        <v>5</v>
      </c>
    </row>
    <row r="310" spans="1:4" x14ac:dyDescent="0.3">
      <c r="A310" s="12" t="s">
        <v>17</v>
      </c>
      <c r="B310" s="12" t="s">
        <v>414</v>
      </c>
      <c r="C310" s="12">
        <v>593</v>
      </c>
      <c r="D310" s="12">
        <v>6</v>
      </c>
    </row>
    <row r="311" spans="1:4" x14ac:dyDescent="0.3">
      <c r="A311" s="12" t="s">
        <v>17</v>
      </c>
      <c r="B311" s="12" t="s">
        <v>415</v>
      </c>
      <c r="C311" s="12">
        <v>338</v>
      </c>
      <c r="D311" s="12">
        <v>3</v>
      </c>
    </row>
    <row r="312" spans="1:4" x14ac:dyDescent="0.3">
      <c r="A312" s="12" t="s">
        <v>17</v>
      </c>
      <c r="B312" s="12" t="s">
        <v>416</v>
      </c>
      <c r="C312" s="12">
        <v>390</v>
      </c>
      <c r="D312" s="12">
        <v>4</v>
      </c>
    </row>
    <row r="313" spans="1:4" x14ac:dyDescent="0.3">
      <c r="A313" s="12" t="s">
        <v>17</v>
      </c>
      <c r="B313" s="12" t="s">
        <v>417</v>
      </c>
      <c r="C313" s="12">
        <v>720</v>
      </c>
      <c r="D313" s="12">
        <v>7</v>
      </c>
    </row>
    <row r="314" spans="1:4" x14ac:dyDescent="0.3">
      <c r="A314" s="12" t="s">
        <v>17</v>
      </c>
      <c r="B314" s="12" t="s">
        <v>418</v>
      </c>
      <c r="C314" s="12">
        <v>984</v>
      </c>
      <c r="D314" s="12">
        <v>10</v>
      </c>
    </row>
    <row r="315" spans="1:4" x14ac:dyDescent="0.3">
      <c r="A315" s="12" t="s">
        <v>17</v>
      </c>
      <c r="B315" s="12" t="s">
        <v>419</v>
      </c>
      <c r="C315" s="12">
        <v>490</v>
      </c>
      <c r="D315" s="12">
        <v>5</v>
      </c>
    </row>
    <row r="316" spans="1:4" x14ac:dyDescent="0.3">
      <c r="A316" s="12" t="s">
        <v>17</v>
      </c>
      <c r="B316" s="12" t="s">
        <v>420</v>
      </c>
      <c r="C316" s="12">
        <v>259</v>
      </c>
      <c r="D316" s="12">
        <v>3</v>
      </c>
    </row>
    <row r="317" spans="1:4" x14ac:dyDescent="0.3">
      <c r="A317" s="12" t="s">
        <v>17</v>
      </c>
      <c r="B317" s="12" t="s">
        <v>421</v>
      </c>
      <c r="C317" s="12">
        <v>148</v>
      </c>
      <c r="D317" s="12">
        <v>1</v>
      </c>
    </row>
    <row r="318" spans="1:4" x14ac:dyDescent="0.3">
      <c r="A318" s="12" t="s">
        <v>17</v>
      </c>
      <c r="B318" s="12" t="s">
        <v>422</v>
      </c>
      <c r="C318" s="12">
        <v>624</v>
      </c>
      <c r="D318" s="12">
        <v>6</v>
      </c>
    </row>
    <row r="319" spans="1:4" x14ac:dyDescent="0.3">
      <c r="A319" s="12" t="s">
        <v>17</v>
      </c>
      <c r="B319" s="12" t="s">
        <v>423</v>
      </c>
      <c r="C319" s="12">
        <v>339</v>
      </c>
      <c r="D319" s="12">
        <v>3</v>
      </c>
    </row>
    <row r="320" spans="1:4" x14ac:dyDescent="0.3">
      <c r="A320" s="12" t="s">
        <v>17</v>
      </c>
      <c r="B320" s="12" t="s">
        <v>424</v>
      </c>
      <c r="C320" s="12">
        <v>906</v>
      </c>
      <c r="D320" s="12">
        <v>9</v>
      </c>
    </row>
    <row r="321" spans="1:4" x14ac:dyDescent="0.3">
      <c r="A321" s="12" t="s">
        <v>17</v>
      </c>
      <c r="B321" s="12" t="s">
        <v>425</v>
      </c>
      <c r="C321" s="12">
        <v>1494</v>
      </c>
      <c r="D321" s="12">
        <v>15</v>
      </c>
    </row>
    <row r="322" spans="1:4" x14ac:dyDescent="0.3">
      <c r="A322" s="12" t="s">
        <v>17</v>
      </c>
      <c r="B322" s="12" t="s">
        <v>426</v>
      </c>
      <c r="C322" s="12">
        <v>638</v>
      </c>
      <c r="D322" s="12">
        <v>6</v>
      </c>
    </row>
    <row r="323" spans="1:4" x14ac:dyDescent="0.3">
      <c r="A323" s="12" t="s">
        <v>17</v>
      </c>
      <c r="B323" s="12" t="s">
        <v>427</v>
      </c>
      <c r="C323" s="12">
        <v>254</v>
      </c>
      <c r="D323" s="12">
        <v>3</v>
      </c>
    </row>
    <row r="324" spans="1:4" x14ac:dyDescent="0.3">
      <c r="A324" s="12" t="s">
        <v>17</v>
      </c>
      <c r="B324" s="12" t="s">
        <v>428</v>
      </c>
      <c r="C324" s="12">
        <v>727</v>
      </c>
      <c r="D324" s="12">
        <v>7</v>
      </c>
    </row>
    <row r="325" spans="1:4" x14ac:dyDescent="0.3">
      <c r="A325" s="12" t="s">
        <v>17</v>
      </c>
      <c r="B325" s="12" t="s">
        <v>429</v>
      </c>
      <c r="C325" s="12">
        <v>632</v>
      </c>
      <c r="D325" s="12">
        <v>6</v>
      </c>
    </row>
    <row r="326" spans="1:4" x14ac:dyDescent="0.3">
      <c r="A326" s="12" t="s">
        <v>17</v>
      </c>
      <c r="B326" s="12" t="s">
        <v>430</v>
      </c>
      <c r="C326" s="12">
        <v>816</v>
      </c>
      <c r="D326" s="12">
        <v>8</v>
      </c>
    </row>
    <row r="327" spans="1:4" x14ac:dyDescent="0.3">
      <c r="A327" s="12" t="s">
        <v>17</v>
      </c>
      <c r="B327" s="12" t="s">
        <v>431</v>
      </c>
      <c r="C327" s="12">
        <v>621</v>
      </c>
      <c r="D327" s="12">
        <v>6</v>
      </c>
    </row>
    <row r="328" spans="1:4" x14ac:dyDescent="0.3">
      <c r="A328" s="12" t="s">
        <v>17</v>
      </c>
      <c r="B328" s="12" t="s">
        <v>432</v>
      </c>
      <c r="C328" s="12">
        <v>575</v>
      </c>
      <c r="D328" s="12">
        <v>6</v>
      </c>
    </row>
    <row r="329" spans="1:4" x14ac:dyDescent="0.3">
      <c r="A329" s="12" t="s">
        <v>17</v>
      </c>
      <c r="B329" s="12" t="s">
        <v>433</v>
      </c>
      <c r="C329" s="12">
        <v>766</v>
      </c>
      <c r="D329" s="12">
        <v>8</v>
      </c>
    </row>
    <row r="330" spans="1:4" x14ac:dyDescent="0.3">
      <c r="A330" s="12" t="s">
        <v>17</v>
      </c>
      <c r="B330" s="12" t="s">
        <v>434</v>
      </c>
      <c r="C330" s="12">
        <v>388</v>
      </c>
      <c r="D330" s="12">
        <v>4</v>
      </c>
    </row>
    <row r="331" spans="1:4" x14ac:dyDescent="0.3">
      <c r="A331" s="12" t="s">
        <v>17</v>
      </c>
      <c r="B331" s="12" t="s">
        <v>435</v>
      </c>
      <c r="C331" s="12">
        <v>559</v>
      </c>
      <c r="D331" s="12">
        <v>6</v>
      </c>
    </row>
    <row r="332" spans="1:4" x14ac:dyDescent="0.3">
      <c r="A332" s="12" t="s">
        <v>17</v>
      </c>
      <c r="B332" s="12" t="s">
        <v>436</v>
      </c>
      <c r="C332" s="12">
        <v>331</v>
      </c>
      <c r="D332" s="12">
        <v>3</v>
      </c>
    </row>
    <row r="333" spans="1:4" x14ac:dyDescent="0.3">
      <c r="A333" s="12" t="s">
        <v>17</v>
      </c>
      <c r="B333" s="12" t="s">
        <v>437</v>
      </c>
      <c r="C333" s="12">
        <v>519</v>
      </c>
      <c r="D333" s="12">
        <v>5</v>
      </c>
    </row>
    <row r="334" spans="1:4" x14ac:dyDescent="0.3">
      <c r="A334" s="12" t="s">
        <v>17</v>
      </c>
      <c r="B334" s="12" t="s">
        <v>438</v>
      </c>
      <c r="C334" s="12">
        <v>546</v>
      </c>
      <c r="D334" s="12">
        <v>5</v>
      </c>
    </row>
    <row r="335" spans="1:4" ht="43.2" x14ac:dyDescent="0.3">
      <c r="A335" s="12" t="s">
        <v>18</v>
      </c>
      <c r="B335" s="12" t="s">
        <v>439</v>
      </c>
      <c r="C335" s="12">
        <v>652</v>
      </c>
      <c r="D335" s="12">
        <v>7</v>
      </c>
    </row>
    <row r="336" spans="1:4" ht="43.2" x14ac:dyDescent="0.3">
      <c r="A336" s="12" t="s">
        <v>18</v>
      </c>
      <c r="B336" s="12" t="s">
        <v>440</v>
      </c>
      <c r="C336" s="12">
        <v>284</v>
      </c>
      <c r="D336" s="12">
        <v>3</v>
      </c>
    </row>
    <row r="337" spans="1:4" ht="100.8" x14ac:dyDescent="0.3">
      <c r="A337" s="12" t="s">
        <v>18</v>
      </c>
      <c r="B337" s="12" t="s">
        <v>441</v>
      </c>
      <c r="C337" s="12">
        <v>286</v>
      </c>
      <c r="D337" s="12">
        <v>3</v>
      </c>
    </row>
    <row r="338" spans="1:4" ht="43.2" x14ac:dyDescent="0.3">
      <c r="A338" s="12" t="s">
        <v>18</v>
      </c>
      <c r="B338" s="12" t="s">
        <v>442</v>
      </c>
      <c r="C338" s="12">
        <v>995</v>
      </c>
      <c r="D338" s="12">
        <v>10</v>
      </c>
    </row>
    <row r="339" spans="1:4" ht="28.8" x14ac:dyDescent="0.3">
      <c r="A339" s="12" t="s">
        <v>18</v>
      </c>
      <c r="B339" s="12" t="s">
        <v>443</v>
      </c>
      <c r="C339" s="12">
        <v>223</v>
      </c>
      <c r="D339" s="12">
        <v>2</v>
      </c>
    </row>
    <row r="340" spans="1:4" ht="28.8" x14ac:dyDescent="0.3">
      <c r="A340" s="12" t="s">
        <v>18</v>
      </c>
      <c r="B340" s="12" t="s">
        <v>444</v>
      </c>
      <c r="C340" s="12">
        <v>649</v>
      </c>
      <c r="D340" s="12">
        <v>6</v>
      </c>
    </row>
    <row r="341" spans="1:4" ht="28.8" x14ac:dyDescent="0.3">
      <c r="A341" s="12" t="s">
        <v>18</v>
      </c>
      <c r="B341" s="12" t="s">
        <v>445</v>
      </c>
      <c r="C341" s="12">
        <v>791</v>
      </c>
      <c r="D341" s="12">
        <v>8</v>
      </c>
    </row>
    <row r="342" spans="1:4" ht="28.8" x14ac:dyDescent="0.3">
      <c r="A342" s="12" t="s">
        <v>18</v>
      </c>
      <c r="B342" s="12" t="s">
        <v>446</v>
      </c>
      <c r="C342" s="12">
        <v>399</v>
      </c>
      <c r="D342" s="12">
        <v>4</v>
      </c>
    </row>
    <row r="343" spans="1:4" ht="43.2" x14ac:dyDescent="0.3">
      <c r="A343" s="12" t="s">
        <v>18</v>
      </c>
      <c r="B343" s="12" t="s">
        <v>447</v>
      </c>
      <c r="C343" s="12">
        <v>317</v>
      </c>
      <c r="D343" s="12">
        <v>3</v>
      </c>
    </row>
    <row r="344" spans="1:4" ht="72" x14ac:dyDescent="0.3">
      <c r="A344" s="12" t="s">
        <v>18</v>
      </c>
      <c r="B344" s="12" t="s">
        <v>448</v>
      </c>
      <c r="C344" s="12">
        <v>588</v>
      </c>
      <c r="D344" s="12">
        <v>6</v>
      </c>
    </row>
    <row r="345" spans="1:4" ht="43.2" x14ac:dyDescent="0.3">
      <c r="A345" s="12" t="s">
        <v>18</v>
      </c>
      <c r="B345" s="12" t="s">
        <v>449</v>
      </c>
      <c r="C345" s="12">
        <v>837</v>
      </c>
      <c r="D345" s="12">
        <v>8</v>
      </c>
    </row>
    <row r="346" spans="1:4" ht="28.8" x14ac:dyDescent="0.3">
      <c r="A346" s="12" t="s">
        <v>18</v>
      </c>
      <c r="B346" s="12" t="s">
        <v>450</v>
      </c>
      <c r="C346" s="12">
        <v>533</v>
      </c>
      <c r="D346" s="12">
        <v>5</v>
      </c>
    </row>
    <row r="347" spans="1:4" ht="28.8" x14ac:dyDescent="0.3">
      <c r="A347" s="12" t="s">
        <v>18</v>
      </c>
      <c r="B347" s="12" t="s">
        <v>451</v>
      </c>
      <c r="C347" s="12">
        <v>428</v>
      </c>
      <c r="D347" s="12">
        <v>4</v>
      </c>
    </row>
    <row r="348" spans="1:4" ht="28.8" x14ac:dyDescent="0.3">
      <c r="A348" s="12" t="s">
        <v>18</v>
      </c>
      <c r="B348" s="12" t="s">
        <v>452</v>
      </c>
      <c r="C348" s="12">
        <v>927</v>
      </c>
      <c r="D348" s="12">
        <v>9</v>
      </c>
    </row>
    <row r="349" spans="1:4" ht="43.2" x14ac:dyDescent="0.3">
      <c r="A349" s="12" t="s">
        <v>18</v>
      </c>
      <c r="B349" s="12" t="s">
        <v>453</v>
      </c>
      <c r="C349" s="12">
        <v>336</v>
      </c>
      <c r="D349" s="12">
        <v>3</v>
      </c>
    </row>
    <row r="350" spans="1:4" ht="43.2" x14ac:dyDescent="0.3">
      <c r="A350" s="12" t="s">
        <v>18</v>
      </c>
      <c r="B350" s="12" t="s">
        <v>454</v>
      </c>
      <c r="C350" s="12">
        <v>396</v>
      </c>
      <c r="D350" s="12">
        <v>4</v>
      </c>
    </row>
    <row r="351" spans="1:4" ht="43.2" x14ac:dyDescent="0.3">
      <c r="A351" s="12" t="s">
        <v>18</v>
      </c>
      <c r="B351" s="12" t="s">
        <v>455</v>
      </c>
      <c r="C351" s="12">
        <v>466</v>
      </c>
      <c r="D351" s="12">
        <v>5</v>
      </c>
    </row>
    <row r="352" spans="1:4" ht="43.2" x14ac:dyDescent="0.3">
      <c r="A352" s="12" t="s">
        <v>18</v>
      </c>
      <c r="B352" s="12" t="s">
        <v>132</v>
      </c>
      <c r="C352" s="12">
        <v>424</v>
      </c>
      <c r="D352" s="12">
        <v>4</v>
      </c>
    </row>
    <row r="353" spans="1:4" ht="43.2" x14ac:dyDescent="0.3">
      <c r="A353" s="12" t="s">
        <v>18</v>
      </c>
      <c r="B353" s="12" t="s">
        <v>456</v>
      </c>
      <c r="C353" s="12">
        <v>250</v>
      </c>
      <c r="D353" s="12">
        <v>2</v>
      </c>
    </row>
    <row r="354" spans="1:4" ht="43.2" x14ac:dyDescent="0.3">
      <c r="A354" s="12" t="s">
        <v>18</v>
      </c>
      <c r="B354" s="12" t="s">
        <v>457</v>
      </c>
      <c r="C354" s="12">
        <v>278</v>
      </c>
      <c r="D354" s="12">
        <v>3</v>
      </c>
    </row>
    <row r="355" spans="1:4" ht="43.2" x14ac:dyDescent="0.3">
      <c r="A355" s="12" t="s">
        <v>19</v>
      </c>
      <c r="B355" s="12" t="s">
        <v>458</v>
      </c>
      <c r="C355" s="12">
        <v>600</v>
      </c>
      <c r="D355" s="12">
        <v>6</v>
      </c>
    </row>
    <row r="356" spans="1:4" x14ac:dyDescent="0.3">
      <c r="A356" s="12" t="s">
        <v>19</v>
      </c>
      <c r="B356" s="12" t="s">
        <v>459</v>
      </c>
      <c r="C356" s="12">
        <v>298</v>
      </c>
      <c r="D356" s="12">
        <v>3</v>
      </c>
    </row>
    <row r="357" spans="1:4" ht="28.8" x14ac:dyDescent="0.3">
      <c r="A357" s="12" t="s">
        <v>19</v>
      </c>
      <c r="B357" s="12" t="s">
        <v>460</v>
      </c>
      <c r="C357" s="12">
        <v>463</v>
      </c>
      <c r="D357" s="12">
        <v>5</v>
      </c>
    </row>
    <row r="358" spans="1:4" ht="43.2" x14ac:dyDescent="0.3">
      <c r="A358" s="12" t="s">
        <v>20</v>
      </c>
      <c r="B358" s="12" t="s">
        <v>461</v>
      </c>
      <c r="C358" s="12">
        <v>278</v>
      </c>
      <c r="D358" s="12">
        <v>3</v>
      </c>
    </row>
    <row r="359" spans="1:4" ht="57.6" x14ac:dyDescent="0.3">
      <c r="A359" s="12" t="s">
        <v>20</v>
      </c>
      <c r="B359" s="12" t="s">
        <v>462</v>
      </c>
      <c r="C359" s="12">
        <v>133</v>
      </c>
      <c r="D359" s="12">
        <v>1</v>
      </c>
    </row>
    <row r="360" spans="1:4" ht="43.2" x14ac:dyDescent="0.3">
      <c r="A360" s="12" t="s">
        <v>20</v>
      </c>
      <c r="B360" s="12" t="s">
        <v>463</v>
      </c>
      <c r="C360" s="12">
        <v>615</v>
      </c>
      <c r="D360" s="12">
        <v>6</v>
      </c>
    </row>
    <row r="361" spans="1:4" ht="43.2" x14ac:dyDescent="0.3">
      <c r="A361" s="12" t="s">
        <v>20</v>
      </c>
      <c r="B361" s="12" t="s">
        <v>464</v>
      </c>
      <c r="C361" s="12">
        <v>955</v>
      </c>
      <c r="D361" s="12">
        <v>10</v>
      </c>
    </row>
    <row r="362" spans="1:4" x14ac:dyDescent="0.3">
      <c r="A362" s="12" t="s">
        <v>20</v>
      </c>
      <c r="B362" s="12" t="s">
        <v>465</v>
      </c>
      <c r="C362" s="12">
        <v>393</v>
      </c>
      <c r="D362" s="12">
        <v>4</v>
      </c>
    </row>
    <row r="363" spans="1:4" ht="28.8" x14ac:dyDescent="0.3">
      <c r="A363" s="12" t="s">
        <v>20</v>
      </c>
      <c r="B363" s="12" t="s">
        <v>466</v>
      </c>
      <c r="C363" s="12">
        <v>306</v>
      </c>
      <c r="D363" s="12">
        <v>3</v>
      </c>
    </row>
    <row r="364" spans="1:4" ht="57.6" x14ac:dyDescent="0.3">
      <c r="A364" s="12" t="s">
        <v>20</v>
      </c>
      <c r="B364" s="12" t="s">
        <v>467</v>
      </c>
      <c r="C364" s="12">
        <v>487</v>
      </c>
      <c r="D364" s="12">
        <v>5</v>
      </c>
    </row>
    <row r="365" spans="1:4" ht="28.8" x14ac:dyDescent="0.3">
      <c r="A365" s="12" t="s">
        <v>20</v>
      </c>
      <c r="B365" s="12" t="s">
        <v>468</v>
      </c>
      <c r="C365" s="12">
        <v>52</v>
      </c>
      <c r="D365" s="12">
        <v>1</v>
      </c>
    </row>
    <row r="366" spans="1:4" ht="57.6" x14ac:dyDescent="0.3">
      <c r="A366" s="12" t="s">
        <v>20</v>
      </c>
      <c r="B366" s="12" t="s">
        <v>469</v>
      </c>
      <c r="C366" s="12">
        <v>110</v>
      </c>
      <c r="D366" s="12">
        <v>1</v>
      </c>
    </row>
    <row r="367" spans="1:4" ht="43.2" x14ac:dyDescent="0.3">
      <c r="A367" s="12" t="s">
        <v>20</v>
      </c>
      <c r="B367" s="12" t="s">
        <v>470</v>
      </c>
      <c r="C367" s="12">
        <v>785</v>
      </c>
      <c r="D367" s="12">
        <v>8</v>
      </c>
    </row>
    <row r="368" spans="1:4" ht="43.2" x14ac:dyDescent="0.3">
      <c r="A368" s="12" t="s">
        <v>20</v>
      </c>
      <c r="B368" s="12" t="s">
        <v>471</v>
      </c>
      <c r="C368" s="12">
        <v>175</v>
      </c>
      <c r="D368" s="12">
        <v>2</v>
      </c>
    </row>
    <row r="369" spans="1:4" ht="57.6" x14ac:dyDescent="0.3">
      <c r="A369" s="12" t="s">
        <v>20</v>
      </c>
      <c r="B369" s="12" t="s">
        <v>472</v>
      </c>
      <c r="C369" s="12">
        <v>92</v>
      </c>
      <c r="D369" s="12">
        <v>1</v>
      </c>
    </row>
    <row r="370" spans="1:4" ht="57.6" x14ac:dyDescent="0.3">
      <c r="A370" s="12" t="s">
        <v>20</v>
      </c>
      <c r="B370" s="12" t="s">
        <v>473</v>
      </c>
      <c r="C370" s="12">
        <v>152</v>
      </c>
      <c r="D370" s="12">
        <v>2</v>
      </c>
    </row>
    <row r="371" spans="1:4" ht="43.2" x14ac:dyDescent="0.3">
      <c r="A371" s="12" t="s">
        <v>20</v>
      </c>
      <c r="B371" s="12" t="s">
        <v>474</v>
      </c>
      <c r="C371" s="12">
        <v>136</v>
      </c>
      <c r="D371" s="12">
        <v>1</v>
      </c>
    </row>
    <row r="372" spans="1:4" ht="28.8" x14ac:dyDescent="0.3">
      <c r="A372" s="12" t="s">
        <v>20</v>
      </c>
      <c r="B372" s="12" t="s">
        <v>475</v>
      </c>
      <c r="C372" s="12">
        <v>63</v>
      </c>
      <c r="D372" s="12">
        <v>1</v>
      </c>
    </row>
    <row r="373" spans="1:4" ht="43.2" x14ac:dyDescent="0.3">
      <c r="A373" s="12" t="s">
        <v>20</v>
      </c>
      <c r="B373" s="12" t="s">
        <v>476</v>
      </c>
      <c r="C373" s="12">
        <v>601</v>
      </c>
      <c r="D373" s="12">
        <v>6</v>
      </c>
    </row>
    <row r="374" spans="1:4" ht="43.2" x14ac:dyDescent="0.3">
      <c r="A374" s="12" t="s">
        <v>20</v>
      </c>
      <c r="B374" s="12" t="s">
        <v>477</v>
      </c>
      <c r="C374" s="12">
        <v>690</v>
      </c>
      <c r="D374" s="12">
        <v>7</v>
      </c>
    </row>
    <row r="375" spans="1:4" ht="43.2" x14ac:dyDescent="0.3">
      <c r="A375" s="12" t="s">
        <v>20</v>
      </c>
      <c r="B375" s="12" t="s">
        <v>478</v>
      </c>
      <c r="C375" s="12">
        <v>705</v>
      </c>
      <c r="D375" s="12">
        <v>7</v>
      </c>
    </row>
    <row r="376" spans="1:4" ht="43.2" x14ac:dyDescent="0.3">
      <c r="A376" s="12" t="s">
        <v>20</v>
      </c>
      <c r="B376" s="12" t="s">
        <v>479</v>
      </c>
      <c r="C376" s="12">
        <v>602</v>
      </c>
      <c r="D376" s="12">
        <v>6</v>
      </c>
    </row>
    <row r="377" spans="1:4" ht="43.2" x14ac:dyDescent="0.3">
      <c r="A377" s="12" t="s">
        <v>20</v>
      </c>
      <c r="B377" s="12" t="s">
        <v>480</v>
      </c>
      <c r="C377" s="12">
        <v>596</v>
      </c>
      <c r="D377" s="12">
        <v>6</v>
      </c>
    </row>
    <row r="378" spans="1:4" ht="43.2" x14ac:dyDescent="0.3">
      <c r="A378" s="12" t="s">
        <v>20</v>
      </c>
      <c r="B378" s="12" t="s">
        <v>481</v>
      </c>
      <c r="C378" s="12">
        <v>381</v>
      </c>
      <c r="D378" s="12">
        <v>4</v>
      </c>
    </row>
    <row r="379" spans="1:4" ht="28.8" x14ac:dyDescent="0.3">
      <c r="A379" s="12" t="s">
        <v>20</v>
      </c>
      <c r="B379" s="12" t="s">
        <v>482</v>
      </c>
      <c r="C379" s="12">
        <v>295</v>
      </c>
      <c r="D379" s="12">
        <v>3</v>
      </c>
    </row>
    <row r="380" spans="1:4" ht="57.6" x14ac:dyDescent="0.3">
      <c r="A380" s="12" t="s">
        <v>20</v>
      </c>
      <c r="B380" s="12" t="s">
        <v>483</v>
      </c>
      <c r="C380" s="12">
        <v>320</v>
      </c>
      <c r="D380" s="12">
        <v>3</v>
      </c>
    </row>
    <row r="381" spans="1:4" ht="28.8" x14ac:dyDescent="0.3">
      <c r="A381" s="12" t="s">
        <v>20</v>
      </c>
      <c r="B381" s="12" t="s">
        <v>484</v>
      </c>
      <c r="C381" s="12">
        <v>183</v>
      </c>
      <c r="D381" s="12">
        <v>2</v>
      </c>
    </row>
    <row r="382" spans="1:4" ht="43.2" x14ac:dyDescent="0.3">
      <c r="A382" s="12" t="s">
        <v>20</v>
      </c>
      <c r="B382" s="12" t="s">
        <v>485</v>
      </c>
      <c r="C382" s="12">
        <v>350</v>
      </c>
      <c r="D382" s="12">
        <v>4</v>
      </c>
    </row>
    <row r="383" spans="1:4" x14ac:dyDescent="0.3">
      <c r="A383" s="12" t="s">
        <v>20</v>
      </c>
      <c r="B383" s="12" t="s">
        <v>486</v>
      </c>
      <c r="C383" s="12">
        <v>203</v>
      </c>
      <c r="D383" s="12">
        <v>2</v>
      </c>
    </row>
    <row r="384" spans="1:4" ht="43.2" x14ac:dyDescent="0.3">
      <c r="A384" s="12" t="s">
        <v>20</v>
      </c>
      <c r="B384" s="12" t="s">
        <v>487</v>
      </c>
      <c r="C384" s="12">
        <v>656</v>
      </c>
      <c r="D384" s="12">
        <v>7</v>
      </c>
    </row>
    <row r="385" spans="1:4" ht="57.6" x14ac:dyDescent="0.3">
      <c r="A385" s="12" t="s">
        <v>20</v>
      </c>
      <c r="B385" s="12" t="s">
        <v>488</v>
      </c>
      <c r="C385" s="12">
        <v>366</v>
      </c>
      <c r="D385" s="12">
        <v>4</v>
      </c>
    </row>
    <row r="386" spans="1:4" ht="43.2" x14ac:dyDescent="0.3">
      <c r="A386" s="12" t="s">
        <v>21</v>
      </c>
      <c r="B386" s="12" t="s">
        <v>489</v>
      </c>
      <c r="C386" s="12">
        <v>182</v>
      </c>
      <c r="D386" s="12">
        <v>2</v>
      </c>
    </row>
    <row r="387" spans="1:4" ht="43.2" x14ac:dyDescent="0.3">
      <c r="A387" s="12" t="s">
        <v>21</v>
      </c>
      <c r="B387" s="12" t="s">
        <v>490</v>
      </c>
      <c r="C387" s="12">
        <v>227</v>
      </c>
      <c r="D387" s="12">
        <v>2</v>
      </c>
    </row>
    <row r="388" spans="1:4" ht="43.2" x14ac:dyDescent="0.3">
      <c r="A388" s="12" t="s">
        <v>21</v>
      </c>
      <c r="B388" s="12" t="s">
        <v>491</v>
      </c>
      <c r="C388" s="12">
        <v>810</v>
      </c>
      <c r="D388" s="12">
        <v>8</v>
      </c>
    </row>
    <row r="389" spans="1:4" ht="28.8" x14ac:dyDescent="0.3">
      <c r="A389" s="12" t="s">
        <v>21</v>
      </c>
      <c r="B389" s="12" t="s">
        <v>492</v>
      </c>
      <c r="C389" s="12">
        <v>882</v>
      </c>
      <c r="D389" s="12">
        <v>9</v>
      </c>
    </row>
    <row r="390" spans="1:4" ht="28.8" x14ac:dyDescent="0.3">
      <c r="A390" s="12" t="s">
        <v>21</v>
      </c>
      <c r="B390" s="12" t="s">
        <v>493</v>
      </c>
      <c r="C390" s="12">
        <v>744</v>
      </c>
      <c r="D390" s="12">
        <v>7</v>
      </c>
    </row>
    <row r="391" spans="1:4" ht="43.2" x14ac:dyDescent="0.3">
      <c r="A391" s="12" t="s">
        <v>21</v>
      </c>
      <c r="B391" s="12" t="s">
        <v>494</v>
      </c>
      <c r="C391" s="12">
        <v>503</v>
      </c>
      <c r="D391" s="12">
        <v>5</v>
      </c>
    </row>
    <row r="392" spans="1:4" ht="43.2" x14ac:dyDescent="0.3">
      <c r="A392" s="12" t="s">
        <v>21</v>
      </c>
      <c r="B392" s="12" t="s">
        <v>495</v>
      </c>
      <c r="C392" s="12">
        <v>231</v>
      </c>
      <c r="D392" s="12">
        <v>2</v>
      </c>
    </row>
    <row r="393" spans="1:4" ht="43.2" x14ac:dyDescent="0.3">
      <c r="A393" s="12" t="s">
        <v>21</v>
      </c>
      <c r="B393" s="12" t="s">
        <v>496</v>
      </c>
      <c r="C393" s="12">
        <v>578</v>
      </c>
      <c r="D393" s="12">
        <v>6</v>
      </c>
    </row>
    <row r="394" spans="1:4" ht="43.2" x14ac:dyDescent="0.3">
      <c r="A394" s="12" t="s">
        <v>21</v>
      </c>
      <c r="B394" s="12" t="s">
        <v>497</v>
      </c>
      <c r="C394" s="12">
        <v>878</v>
      </c>
      <c r="D394" s="12">
        <v>9</v>
      </c>
    </row>
    <row r="395" spans="1:4" ht="28.8" x14ac:dyDescent="0.3">
      <c r="A395" s="12" t="s">
        <v>22</v>
      </c>
      <c r="B395" s="12" t="s">
        <v>498</v>
      </c>
      <c r="C395" s="12">
        <v>435</v>
      </c>
      <c r="D395" s="12">
        <v>4</v>
      </c>
    </row>
    <row r="396" spans="1:4" ht="28.8" x14ac:dyDescent="0.3">
      <c r="A396" s="12" t="s">
        <v>22</v>
      </c>
      <c r="B396" s="12" t="s">
        <v>499</v>
      </c>
      <c r="C396" s="12">
        <v>358</v>
      </c>
      <c r="D396" s="12">
        <v>4</v>
      </c>
    </row>
    <row r="397" spans="1:4" ht="43.2" x14ac:dyDescent="0.3">
      <c r="A397" s="12" t="s">
        <v>22</v>
      </c>
      <c r="B397" s="12" t="s">
        <v>500</v>
      </c>
      <c r="C397" s="12">
        <v>408</v>
      </c>
      <c r="D397" s="12">
        <v>4</v>
      </c>
    </row>
    <row r="398" spans="1:4" ht="43.2" x14ac:dyDescent="0.3">
      <c r="A398" s="12" t="s">
        <v>22</v>
      </c>
      <c r="B398" s="12" t="s">
        <v>501</v>
      </c>
      <c r="C398" s="12">
        <v>218</v>
      </c>
      <c r="D398" s="12">
        <v>2</v>
      </c>
    </row>
    <row r="399" spans="1:4" ht="43.2" x14ac:dyDescent="0.3">
      <c r="A399" s="12" t="s">
        <v>22</v>
      </c>
      <c r="B399" s="12" t="s">
        <v>502</v>
      </c>
      <c r="C399" s="12">
        <v>668</v>
      </c>
      <c r="D399" s="12">
        <v>7</v>
      </c>
    </row>
    <row r="400" spans="1:4" ht="43.2" x14ac:dyDescent="0.3">
      <c r="A400" s="12" t="s">
        <v>22</v>
      </c>
      <c r="B400" s="12" t="s">
        <v>503</v>
      </c>
      <c r="C400" s="12">
        <v>473</v>
      </c>
      <c r="D400" s="12">
        <v>5</v>
      </c>
    </row>
    <row r="401" spans="1:4" ht="43.2" x14ac:dyDescent="0.3">
      <c r="A401" s="12" t="s">
        <v>22</v>
      </c>
      <c r="B401" s="12" t="s">
        <v>504</v>
      </c>
      <c r="C401" s="12">
        <v>365</v>
      </c>
      <c r="D401" s="12">
        <v>4</v>
      </c>
    </row>
    <row r="402" spans="1:4" ht="43.2" x14ac:dyDescent="0.3">
      <c r="A402" s="12" t="s">
        <v>22</v>
      </c>
      <c r="B402" s="12" t="s">
        <v>505</v>
      </c>
      <c r="C402" s="12">
        <v>529</v>
      </c>
      <c r="D402" s="12">
        <v>5</v>
      </c>
    </row>
    <row r="403" spans="1:4" ht="43.2" x14ac:dyDescent="0.3">
      <c r="A403" s="12" t="s">
        <v>22</v>
      </c>
      <c r="B403" s="12" t="s">
        <v>506</v>
      </c>
      <c r="C403" s="12">
        <v>782</v>
      </c>
      <c r="D403" s="12">
        <v>8</v>
      </c>
    </row>
    <row r="404" spans="1:4" ht="28.8" x14ac:dyDescent="0.3">
      <c r="A404" s="12" t="s">
        <v>22</v>
      </c>
      <c r="B404" s="12" t="s">
        <v>507</v>
      </c>
      <c r="C404" s="12">
        <v>306</v>
      </c>
      <c r="D404" s="12">
        <v>3</v>
      </c>
    </row>
    <row r="405" spans="1:4" ht="28.8" x14ac:dyDescent="0.3">
      <c r="A405" s="12" t="s">
        <v>22</v>
      </c>
      <c r="B405" s="12" t="s">
        <v>508</v>
      </c>
      <c r="C405" s="12">
        <v>210</v>
      </c>
      <c r="D405" s="12">
        <v>2</v>
      </c>
    </row>
    <row r="406" spans="1:4" ht="43.2" x14ac:dyDescent="0.3">
      <c r="A406" s="12" t="s">
        <v>22</v>
      </c>
      <c r="B406" s="12" t="s">
        <v>509</v>
      </c>
      <c r="C406" s="12">
        <v>802</v>
      </c>
      <c r="D406" s="12">
        <v>8</v>
      </c>
    </row>
    <row r="407" spans="1:4" ht="43.2" x14ac:dyDescent="0.3">
      <c r="A407" s="12" t="s">
        <v>22</v>
      </c>
      <c r="B407" s="12" t="s">
        <v>510</v>
      </c>
      <c r="C407" s="12">
        <v>547</v>
      </c>
      <c r="D407" s="12">
        <v>5</v>
      </c>
    </row>
    <row r="408" spans="1:4" ht="43.2" x14ac:dyDescent="0.3">
      <c r="A408" s="12" t="s">
        <v>22</v>
      </c>
      <c r="B408" s="12" t="s">
        <v>511</v>
      </c>
      <c r="C408" s="12">
        <v>723</v>
      </c>
      <c r="D408" s="12">
        <v>7</v>
      </c>
    </row>
    <row r="409" spans="1:4" ht="43.2" x14ac:dyDescent="0.3">
      <c r="A409" s="12" t="s">
        <v>22</v>
      </c>
      <c r="B409" s="12" t="s">
        <v>512</v>
      </c>
      <c r="C409" s="12">
        <v>716</v>
      </c>
      <c r="D409" s="12">
        <v>7</v>
      </c>
    </row>
    <row r="410" spans="1:4" ht="28.8" x14ac:dyDescent="0.3">
      <c r="A410" s="12" t="s">
        <v>22</v>
      </c>
      <c r="B410" s="12" t="s">
        <v>513</v>
      </c>
      <c r="C410" s="12">
        <v>625</v>
      </c>
      <c r="D410" s="12">
        <v>6</v>
      </c>
    </row>
    <row r="411" spans="1:4" ht="57.6" x14ac:dyDescent="0.3">
      <c r="A411" s="12" t="s">
        <v>22</v>
      </c>
      <c r="B411" s="12" t="s">
        <v>514</v>
      </c>
      <c r="C411" s="12">
        <v>436</v>
      </c>
      <c r="D411" s="12">
        <v>4</v>
      </c>
    </row>
    <row r="412" spans="1:4" ht="57.6" x14ac:dyDescent="0.3">
      <c r="A412" s="12" t="s">
        <v>22</v>
      </c>
      <c r="B412" s="12" t="s">
        <v>515</v>
      </c>
      <c r="C412" s="12">
        <v>272</v>
      </c>
      <c r="D412" s="12">
        <v>3</v>
      </c>
    </row>
    <row r="413" spans="1:4" ht="28.8" x14ac:dyDescent="0.3">
      <c r="A413" s="12" t="s">
        <v>22</v>
      </c>
      <c r="B413" s="12" t="s">
        <v>516</v>
      </c>
      <c r="C413" s="12">
        <v>595</v>
      </c>
      <c r="D413" s="12">
        <v>6</v>
      </c>
    </row>
    <row r="414" spans="1:4" ht="43.2" x14ac:dyDescent="0.3">
      <c r="A414" s="12" t="s">
        <v>22</v>
      </c>
      <c r="B414" s="12" t="s">
        <v>517</v>
      </c>
      <c r="C414" s="12">
        <v>286</v>
      </c>
      <c r="D414" s="12">
        <v>3</v>
      </c>
    </row>
    <row r="415" spans="1:4" ht="43.2" x14ac:dyDescent="0.3">
      <c r="A415" s="12" t="s">
        <v>22</v>
      </c>
      <c r="B415" s="12" t="s">
        <v>518</v>
      </c>
      <c r="C415" s="12">
        <v>685</v>
      </c>
      <c r="D415" s="12">
        <v>7</v>
      </c>
    </row>
    <row r="416" spans="1:4" ht="57.6" x14ac:dyDescent="0.3">
      <c r="A416" s="12" t="s">
        <v>22</v>
      </c>
      <c r="B416" s="12" t="s">
        <v>519</v>
      </c>
      <c r="C416" s="12">
        <v>924</v>
      </c>
      <c r="D416" s="12">
        <v>9</v>
      </c>
    </row>
    <row r="417" spans="1:4" ht="57.6" x14ac:dyDescent="0.3">
      <c r="A417" s="12" t="s">
        <v>22</v>
      </c>
      <c r="B417" s="12" t="s">
        <v>520</v>
      </c>
      <c r="C417" s="12">
        <v>787</v>
      </c>
      <c r="D417" s="12">
        <v>8</v>
      </c>
    </row>
    <row r="418" spans="1:4" ht="28.8" x14ac:dyDescent="0.3">
      <c r="A418" s="12" t="s">
        <v>22</v>
      </c>
      <c r="B418" s="12" t="s">
        <v>521</v>
      </c>
      <c r="C418" s="12">
        <v>503</v>
      </c>
      <c r="D418" s="12">
        <v>5</v>
      </c>
    </row>
    <row r="419" spans="1:4" ht="43.2" x14ac:dyDescent="0.3">
      <c r="A419" s="12" t="s">
        <v>22</v>
      </c>
      <c r="B419" s="12" t="s">
        <v>522</v>
      </c>
      <c r="C419" s="12">
        <v>565</v>
      </c>
      <c r="D419" s="12">
        <v>6</v>
      </c>
    </row>
    <row r="420" spans="1:4" ht="57.6" x14ac:dyDescent="0.3">
      <c r="A420" s="12" t="s">
        <v>22</v>
      </c>
      <c r="B420" s="12" t="s">
        <v>523</v>
      </c>
      <c r="C420" s="12">
        <v>582</v>
      </c>
      <c r="D420" s="12">
        <v>6</v>
      </c>
    </row>
    <row r="421" spans="1:4" ht="43.2" x14ac:dyDescent="0.3">
      <c r="A421" s="12" t="s">
        <v>22</v>
      </c>
      <c r="B421" s="12" t="s">
        <v>524</v>
      </c>
      <c r="C421" s="12">
        <v>543</v>
      </c>
      <c r="D421" s="12">
        <v>5</v>
      </c>
    </row>
    <row r="422" spans="1:4" ht="28.8" x14ac:dyDescent="0.3">
      <c r="A422" s="12" t="s">
        <v>22</v>
      </c>
      <c r="B422" s="12" t="s">
        <v>525</v>
      </c>
      <c r="C422" s="12">
        <v>643</v>
      </c>
      <c r="D422" s="12">
        <v>6</v>
      </c>
    </row>
    <row r="423" spans="1:4" ht="43.2" x14ac:dyDescent="0.3">
      <c r="A423" s="12" t="s">
        <v>22</v>
      </c>
      <c r="B423" s="12" t="s">
        <v>526</v>
      </c>
      <c r="C423" s="12">
        <v>431</v>
      </c>
      <c r="D423" s="12">
        <v>4</v>
      </c>
    </row>
    <row r="424" spans="1:4" ht="28.8" x14ac:dyDescent="0.3">
      <c r="A424" s="12" t="s">
        <v>22</v>
      </c>
      <c r="B424" s="12" t="s">
        <v>527</v>
      </c>
      <c r="C424" s="12">
        <v>1013</v>
      </c>
      <c r="D424" s="12">
        <v>10</v>
      </c>
    </row>
    <row r="425" spans="1:4" ht="43.2" x14ac:dyDescent="0.3">
      <c r="A425" s="12" t="s">
        <v>22</v>
      </c>
      <c r="B425" s="12" t="s">
        <v>528</v>
      </c>
      <c r="C425" s="12">
        <v>849</v>
      </c>
      <c r="D425" s="12">
        <v>8</v>
      </c>
    </row>
    <row r="426" spans="1:4" ht="28.8" x14ac:dyDescent="0.3">
      <c r="A426" s="12" t="s">
        <v>22</v>
      </c>
      <c r="B426" s="12" t="s">
        <v>529</v>
      </c>
      <c r="C426" s="12">
        <v>794</v>
      </c>
      <c r="D426" s="12">
        <v>8</v>
      </c>
    </row>
    <row r="427" spans="1:4" ht="28.8" x14ac:dyDescent="0.3">
      <c r="A427" s="12" t="s">
        <v>22</v>
      </c>
      <c r="B427" s="12" t="s">
        <v>530</v>
      </c>
      <c r="C427" s="12">
        <v>1136</v>
      </c>
      <c r="D427" s="12">
        <v>11</v>
      </c>
    </row>
    <row r="428" spans="1:4" ht="43.2" x14ac:dyDescent="0.3">
      <c r="A428" s="12" t="s">
        <v>22</v>
      </c>
      <c r="B428" s="12" t="s">
        <v>531</v>
      </c>
      <c r="C428" s="12">
        <v>706</v>
      </c>
      <c r="D428" s="12">
        <v>7</v>
      </c>
    </row>
    <row r="429" spans="1:4" ht="43.2" x14ac:dyDescent="0.3">
      <c r="A429" s="12" t="s">
        <v>22</v>
      </c>
      <c r="B429" s="12" t="s">
        <v>532</v>
      </c>
      <c r="C429" s="12">
        <v>496</v>
      </c>
      <c r="D429" s="12">
        <v>5</v>
      </c>
    </row>
    <row r="430" spans="1:4" ht="43.2" x14ac:dyDescent="0.3">
      <c r="A430" s="12" t="s">
        <v>22</v>
      </c>
      <c r="B430" s="12" t="s">
        <v>533</v>
      </c>
      <c r="C430" s="12">
        <v>981</v>
      </c>
      <c r="D430" s="12">
        <v>10</v>
      </c>
    </row>
    <row r="431" spans="1:4" ht="43.2" x14ac:dyDescent="0.3">
      <c r="A431" s="12" t="s">
        <v>22</v>
      </c>
      <c r="B431" s="12" t="s">
        <v>534</v>
      </c>
      <c r="C431" s="12">
        <v>526</v>
      </c>
      <c r="D431" s="12">
        <v>5</v>
      </c>
    </row>
    <row r="432" spans="1:4" ht="43.2" x14ac:dyDescent="0.3">
      <c r="A432" s="12" t="s">
        <v>22</v>
      </c>
      <c r="B432" s="12" t="s">
        <v>535</v>
      </c>
      <c r="C432" s="12">
        <v>684</v>
      </c>
      <c r="D432" s="12">
        <v>7</v>
      </c>
    </row>
    <row r="433" spans="1:4" ht="43.2" x14ac:dyDescent="0.3">
      <c r="A433" s="12" t="s">
        <v>22</v>
      </c>
      <c r="B433" s="12" t="s">
        <v>536</v>
      </c>
      <c r="C433" s="12">
        <v>713</v>
      </c>
      <c r="D433" s="12">
        <v>7</v>
      </c>
    </row>
    <row r="434" spans="1:4" ht="28.8" x14ac:dyDescent="0.3">
      <c r="A434" s="12" t="s">
        <v>22</v>
      </c>
      <c r="B434" s="12" t="s">
        <v>537</v>
      </c>
      <c r="C434" s="12">
        <v>435</v>
      </c>
      <c r="D434" s="12">
        <v>4</v>
      </c>
    </row>
    <row r="435" spans="1:4" ht="43.2" x14ac:dyDescent="0.3">
      <c r="A435" s="12" t="s">
        <v>23</v>
      </c>
      <c r="B435" s="12" t="s">
        <v>106</v>
      </c>
      <c r="C435" s="12">
        <v>407</v>
      </c>
      <c r="D435" s="12">
        <v>4</v>
      </c>
    </row>
    <row r="436" spans="1:4" ht="28.8" x14ac:dyDescent="0.3">
      <c r="A436" s="12" t="s">
        <v>23</v>
      </c>
      <c r="B436" s="12" t="s">
        <v>538</v>
      </c>
      <c r="C436" s="12">
        <v>108</v>
      </c>
      <c r="D436" s="12">
        <v>1</v>
      </c>
    </row>
    <row r="437" spans="1:4" ht="28.8" x14ac:dyDescent="0.3">
      <c r="A437" s="12" t="s">
        <v>23</v>
      </c>
      <c r="B437" s="12" t="s">
        <v>539</v>
      </c>
      <c r="C437" s="12">
        <v>371</v>
      </c>
      <c r="D437" s="12">
        <v>4</v>
      </c>
    </row>
    <row r="438" spans="1:4" x14ac:dyDescent="0.3">
      <c r="A438" s="12" t="s">
        <v>23</v>
      </c>
      <c r="B438" s="12" t="s">
        <v>540</v>
      </c>
      <c r="C438" s="12">
        <v>1100</v>
      </c>
      <c r="D438" s="12">
        <v>11</v>
      </c>
    </row>
    <row r="439" spans="1:4" ht="43.2" x14ac:dyDescent="0.3">
      <c r="A439" s="12" t="s">
        <v>23</v>
      </c>
      <c r="B439" s="12" t="s">
        <v>541</v>
      </c>
      <c r="C439" s="12">
        <v>1589</v>
      </c>
      <c r="D439" s="12">
        <v>16</v>
      </c>
    </row>
    <row r="440" spans="1:4" ht="43.2" x14ac:dyDescent="0.3">
      <c r="A440" s="12" t="s">
        <v>23</v>
      </c>
      <c r="B440" s="12" t="s">
        <v>542</v>
      </c>
      <c r="C440" s="12">
        <v>1740</v>
      </c>
      <c r="D440" s="12">
        <v>17</v>
      </c>
    </row>
    <row r="441" spans="1:4" ht="43.2" x14ac:dyDescent="0.3">
      <c r="A441" s="12" t="s">
        <v>23</v>
      </c>
      <c r="B441" s="12" t="s">
        <v>543</v>
      </c>
      <c r="C441" s="12">
        <v>715</v>
      </c>
      <c r="D441" s="12">
        <v>7</v>
      </c>
    </row>
    <row r="442" spans="1:4" x14ac:dyDescent="0.3">
      <c r="A442" s="12" t="s">
        <v>23</v>
      </c>
      <c r="B442" s="12" t="s">
        <v>544</v>
      </c>
      <c r="C442" s="12">
        <v>603</v>
      </c>
      <c r="D442" s="12">
        <v>6</v>
      </c>
    </row>
    <row r="443" spans="1:4" ht="57.6" x14ac:dyDescent="0.3">
      <c r="A443" s="12" t="s">
        <v>23</v>
      </c>
      <c r="B443" s="12" t="s">
        <v>545</v>
      </c>
      <c r="C443" s="12">
        <v>68</v>
      </c>
      <c r="D443" s="12">
        <v>1</v>
      </c>
    </row>
    <row r="444" spans="1:4" ht="57.6" x14ac:dyDescent="0.3">
      <c r="A444" s="12" t="s">
        <v>23</v>
      </c>
      <c r="B444" s="12" t="s">
        <v>546</v>
      </c>
      <c r="C444" s="12">
        <v>587</v>
      </c>
      <c r="D444" s="12">
        <v>6</v>
      </c>
    </row>
    <row r="445" spans="1:4" ht="28.8" x14ac:dyDescent="0.3">
      <c r="A445" s="12" t="s">
        <v>23</v>
      </c>
      <c r="B445" s="12" t="s">
        <v>547</v>
      </c>
      <c r="C445" s="12">
        <v>3808</v>
      </c>
      <c r="D445" s="12">
        <v>38</v>
      </c>
    </row>
    <row r="446" spans="1:4" ht="28.8" x14ac:dyDescent="0.3">
      <c r="A446" s="12" t="s">
        <v>23</v>
      </c>
      <c r="B446" s="12" t="s">
        <v>548</v>
      </c>
      <c r="C446" s="12">
        <v>561</v>
      </c>
      <c r="D446" s="12">
        <v>6</v>
      </c>
    </row>
    <row r="447" spans="1:4" ht="43.2" x14ac:dyDescent="0.3">
      <c r="A447" s="12" t="s">
        <v>23</v>
      </c>
      <c r="B447" s="12" t="s">
        <v>549</v>
      </c>
      <c r="C447" s="12">
        <v>2929</v>
      </c>
      <c r="D447" s="12">
        <v>29</v>
      </c>
    </row>
    <row r="448" spans="1:4" ht="43.2" x14ac:dyDescent="0.3">
      <c r="A448" s="12" t="s">
        <v>23</v>
      </c>
      <c r="B448" s="12" t="s">
        <v>550</v>
      </c>
      <c r="C448" s="12">
        <v>354</v>
      </c>
      <c r="D448" s="12">
        <v>4</v>
      </c>
    </row>
    <row r="449" spans="1:4" ht="43.2" x14ac:dyDescent="0.3">
      <c r="A449" s="12" t="s">
        <v>23</v>
      </c>
      <c r="B449" s="12" t="s">
        <v>551</v>
      </c>
      <c r="C449" s="12">
        <v>3228</v>
      </c>
      <c r="D449" s="12">
        <v>32</v>
      </c>
    </row>
    <row r="450" spans="1:4" ht="28.8" x14ac:dyDescent="0.3">
      <c r="A450" s="12" t="s">
        <v>23</v>
      </c>
      <c r="B450" s="12" t="s">
        <v>552</v>
      </c>
      <c r="C450" s="12">
        <v>615</v>
      </c>
      <c r="D450" s="12">
        <v>6</v>
      </c>
    </row>
    <row r="451" spans="1:4" ht="43.2" x14ac:dyDescent="0.3">
      <c r="A451" s="12" t="s">
        <v>23</v>
      </c>
      <c r="B451" s="12" t="s">
        <v>553</v>
      </c>
      <c r="C451" s="12">
        <v>952</v>
      </c>
      <c r="D451" s="12">
        <v>10</v>
      </c>
    </row>
    <row r="452" spans="1:4" ht="43.2" x14ac:dyDescent="0.3">
      <c r="A452" s="12" t="s">
        <v>23</v>
      </c>
      <c r="B452" s="12" t="s">
        <v>554</v>
      </c>
      <c r="C452" s="12">
        <v>2361</v>
      </c>
      <c r="D452" s="12">
        <v>24</v>
      </c>
    </row>
    <row r="453" spans="1:4" ht="57.6" x14ac:dyDescent="0.3">
      <c r="A453" s="12" t="s">
        <v>24</v>
      </c>
      <c r="B453" s="12" t="s">
        <v>555</v>
      </c>
      <c r="C453" s="12">
        <v>292</v>
      </c>
      <c r="D453" s="12">
        <v>3</v>
      </c>
    </row>
    <row r="454" spans="1:4" ht="57.6" x14ac:dyDescent="0.3">
      <c r="A454" s="12" t="s">
        <v>24</v>
      </c>
      <c r="B454" s="12" t="s">
        <v>556</v>
      </c>
      <c r="C454" s="12">
        <v>295</v>
      </c>
      <c r="D454" s="12">
        <v>3</v>
      </c>
    </row>
    <row r="455" spans="1:4" ht="43.2" x14ac:dyDescent="0.3">
      <c r="A455" s="12" t="s">
        <v>24</v>
      </c>
      <c r="B455" s="12" t="s">
        <v>557</v>
      </c>
      <c r="C455" s="12">
        <v>229</v>
      </c>
      <c r="D455" s="12">
        <v>2</v>
      </c>
    </row>
    <row r="456" spans="1:4" ht="43.2" x14ac:dyDescent="0.3">
      <c r="A456" s="12" t="s">
        <v>24</v>
      </c>
      <c r="B456" s="12" t="s">
        <v>558</v>
      </c>
      <c r="C456" s="12">
        <v>186</v>
      </c>
      <c r="D456" s="12">
        <v>2</v>
      </c>
    </row>
    <row r="457" spans="1:4" ht="43.2" x14ac:dyDescent="0.3">
      <c r="A457" s="12" t="s">
        <v>24</v>
      </c>
      <c r="B457" s="12" t="s">
        <v>559</v>
      </c>
      <c r="C457" s="12">
        <v>140</v>
      </c>
      <c r="D457" s="12">
        <v>1</v>
      </c>
    </row>
    <row r="458" spans="1:4" ht="28.8" x14ac:dyDescent="0.3">
      <c r="A458" s="12" t="s">
        <v>24</v>
      </c>
      <c r="B458" s="12" t="s">
        <v>560</v>
      </c>
      <c r="C458" s="12">
        <v>66</v>
      </c>
      <c r="D458" s="12">
        <v>1</v>
      </c>
    </row>
    <row r="459" spans="1:4" ht="43.2" x14ac:dyDescent="0.3">
      <c r="A459" s="12" t="s">
        <v>24</v>
      </c>
      <c r="B459" s="12" t="s">
        <v>561</v>
      </c>
      <c r="C459" s="12">
        <v>86</v>
      </c>
      <c r="D459" s="12">
        <v>1</v>
      </c>
    </row>
    <row r="460" spans="1:4" ht="43.2" x14ac:dyDescent="0.3">
      <c r="A460" s="12" t="s">
        <v>24</v>
      </c>
      <c r="B460" s="12" t="s">
        <v>562</v>
      </c>
      <c r="C460" s="12">
        <v>270</v>
      </c>
      <c r="D460" s="12">
        <v>3</v>
      </c>
    </row>
    <row r="461" spans="1:4" ht="28.8" x14ac:dyDescent="0.3">
      <c r="A461" s="12" t="s">
        <v>24</v>
      </c>
      <c r="B461" s="12" t="s">
        <v>563</v>
      </c>
      <c r="C461" s="12">
        <v>208</v>
      </c>
      <c r="D461" s="12">
        <v>2</v>
      </c>
    </row>
    <row r="462" spans="1:4" ht="28.8" x14ac:dyDescent="0.3">
      <c r="A462" s="12" t="s">
        <v>24</v>
      </c>
      <c r="B462" s="12" t="s">
        <v>564</v>
      </c>
      <c r="C462" s="12">
        <v>217</v>
      </c>
      <c r="D462" s="12">
        <v>2</v>
      </c>
    </row>
    <row r="463" spans="1:4" ht="43.2" x14ac:dyDescent="0.3">
      <c r="A463" s="12" t="s">
        <v>24</v>
      </c>
      <c r="B463" s="12" t="s">
        <v>565</v>
      </c>
      <c r="C463" s="12">
        <v>434</v>
      </c>
      <c r="D463" s="12">
        <v>4</v>
      </c>
    </row>
    <row r="464" spans="1:4" ht="43.2" x14ac:dyDescent="0.3">
      <c r="A464" s="12" t="s">
        <v>24</v>
      </c>
      <c r="B464" s="12" t="s">
        <v>566</v>
      </c>
      <c r="C464" s="12">
        <v>408</v>
      </c>
      <c r="D464" s="12">
        <v>4</v>
      </c>
    </row>
    <row r="465" spans="1:4" ht="43.2" x14ac:dyDescent="0.3">
      <c r="A465" s="12" t="s">
        <v>24</v>
      </c>
      <c r="B465" s="12" t="s">
        <v>567</v>
      </c>
      <c r="C465" s="12">
        <v>430</v>
      </c>
      <c r="D465" s="12">
        <v>4</v>
      </c>
    </row>
    <row r="466" spans="1:4" ht="28.8" x14ac:dyDescent="0.3">
      <c r="A466" s="12" t="s">
        <v>24</v>
      </c>
      <c r="B466" s="12" t="s">
        <v>568</v>
      </c>
      <c r="C466" s="12">
        <v>305</v>
      </c>
      <c r="D466" s="12">
        <v>3</v>
      </c>
    </row>
    <row r="467" spans="1:4" ht="28.8" x14ac:dyDescent="0.3">
      <c r="A467" s="12" t="s">
        <v>24</v>
      </c>
      <c r="B467" s="12" t="s">
        <v>569</v>
      </c>
      <c r="C467" s="12">
        <v>55</v>
      </c>
      <c r="D467" s="12">
        <v>1</v>
      </c>
    </row>
    <row r="468" spans="1:4" x14ac:dyDescent="0.3">
      <c r="A468" s="12" t="s">
        <v>24</v>
      </c>
      <c r="B468" s="12" t="s">
        <v>570</v>
      </c>
      <c r="C468" s="12">
        <v>91</v>
      </c>
      <c r="D468" s="12">
        <v>1</v>
      </c>
    </row>
    <row r="469" spans="1:4" ht="43.2" x14ac:dyDescent="0.3">
      <c r="A469" s="12" t="s">
        <v>25</v>
      </c>
      <c r="B469" s="12" t="s">
        <v>571</v>
      </c>
      <c r="C469" s="12">
        <v>302</v>
      </c>
      <c r="D469" s="12">
        <v>3</v>
      </c>
    </row>
    <row r="470" spans="1:4" ht="43.2" x14ac:dyDescent="0.3">
      <c r="A470" s="12" t="s">
        <v>25</v>
      </c>
      <c r="B470" s="12" t="s">
        <v>572</v>
      </c>
      <c r="C470" s="12">
        <v>840</v>
      </c>
      <c r="D470" s="12">
        <v>8</v>
      </c>
    </row>
    <row r="471" spans="1:4" ht="28.8" x14ac:dyDescent="0.3">
      <c r="A471" s="12" t="s">
        <v>25</v>
      </c>
      <c r="B471" s="12" t="s">
        <v>573</v>
      </c>
      <c r="C471" s="12">
        <v>202</v>
      </c>
      <c r="D471" s="12">
        <v>2</v>
      </c>
    </row>
    <row r="472" spans="1:4" ht="43.2" x14ac:dyDescent="0.3">
      <c r="A472" s="12" t="s">
        <v>25</v>
      </c>
      <c r="B472" s="12" t="s">
        <v>574</v>
      </c>
      <c r="C472" s="12">
        <v>168</v>
      </c>
      <c r="D472" s="12">
        <v>2</v>
      </c>
    </row>
    <row r="473" spans="1:4" ht="43.2" x14ac:dyDescent="0.3">
      <c r="A473" s="12" t="s">
        <v>25</v>
      </c>
      <c r="B473" s="12" t="s">
        <v>575</v>
      </c>
      <c r="C473" s="12">
        <v>1043</v>
      </c>
      <c r="D473" s="12">
        <v>10</v>
      </c>
    </row>
    <row r="474" spans="1:4" ht="28.8" x14ac:dyDescent="0.3">
      <c r="A474" s="12" t="s">
        <v>25</v>
      </c>
      <c r="B474" s="12" t="s">
        <v>576</v>
      </c>
      <c r="C474" s="12">
        <v>435</v>
      </c>
      <c r="D474" s="12">
        <v>4</v>
      </c>
    </row>
    <row r="475" spans="1:4" ht="43.2" x14ac:dyDescent="0.3">
      <c r="A475" s="12" t="s">
        <v>26</v>
      </c>
      <c r="B475" s="12" t="s">
        <v>558</v>
      </c>
      <c r="C475" s="12">
        <v>188</v>
      </c>
      <c r="D475" s="12">
        <v>2</v>
      </c>
    </row>
    <row r="476" spans="1:4" ht="57.6" x14ac:dyDescent="0.3">
      <c r="A476" s="12" t="s">
        <v>26</v>
      </c>
      <c r="B476" s="12" t="s">
        <v>577</v>
      </c>
      <c r="C476" s="12">
        <v>82</v>
      </c>
      <c r="D476" s="12">
        <v>1</v>
      </c>
    </row>
    <row r="477" spans="1:4" ht="43.2" x14ac:dyDescent="0.3">
      <c r="A477" s="12" t="s">
        <v>26</v>
      </c>
      <c r="B477" s="12" t="s">
        <v>578</v>
      </c>
      <c r="C477" s="12">
        <v>261</v>
      </c>
      <c r="D477" s="12">
        <v>3</v>
      </c>
    </row>
    <row r="478" spans="1:4" ht="43.2" x14ac:dyDescent="0.3">
      <c r="A478" s="12" t="s">
        <v>26</v>
      </c>
      <c r="B478" s="12" t="s">
        <v>579</v>
      </c>
      <c r="C478" s="12">
        <v>304</v>
      </c>
      <c r="D478" s="12">
        <v>3</v>
      </c>
    </row>
    <row r="479" spans="1:4" ht="43.2" x14ac:dyDescent="0.3">
      <c r="A479" s="12" t="s">
        <v>26</v>
      </c>
      <c r="B479" s="12" t="s">
        <v>580</v>
      </c>
      <c r="C479" s="12">
        <v>265</v>
      </c>
      <c r="D479" s="12">
        <v>3</v>
      </c>
    </row>
    <row r="480" spans="1:4" ht="43.2" x14ac:dyDescent="0.3">
      <c r="A480" s="12" t="s">
        <v>26</v>
      </c>
      <c r="B480" s="12" t="s">
        <v>581</v>
      </c>
      <c r="C480" s="12">
        <v>176</v>
      </c>
      <c r="D480" s="12">
        <v>2</v>
      </c>
    </row>
    <row r="481" spans="1:4" ht="43.2" x14ac:dyDescent="0.3">
      <c r="A481" s="12" t="s">
        <v>26</v>
      </c>
      <c r="B481" s="12" t="s">
        <v>534</v>
      </c>
      <c r="C481" s="12">
        <v>137</v>
      </c>
      <c r="D481" s="12">
        <v>1</v>
      </c>
    </row>
    <row r="482" spans="1:4" ht="43.2" x14ac:dyDescent="0.3">
      <c r="A482" s="12" t="s">
        <v>26</v>
      </c>
      <c r="B482" s="12" t="s">
        <v>582</v>
      </c>
      <c r="C482" s="12">
        <v>139</v>
      </c>
      <c r="D482" s="12">
        <v>1</v>
      </c>
    </row>
    <row r="483" spans="1:4" x14ac:dyDescent="0.3">
      <c r="A483" s="12" t="s">
        <v>26</v>
      </c>
      <c r="B483" s="12" t="s">
        <v>583</v>
      </c>
      <c r="C483" s="12">
        <v>138</v>
      </c>
      <c r="D483" s="12">
        <v>1</v>
      </c>
    </row>
    <row r="484" spans="1:4" ht="43.2" x14ac:dyDescent="0.3">
      <c r="A484" s="12" t="s">
        <v>27</v>
      </c>
      <c r="B484" s="12" t="s">
        <v>584</v>
      </c>
      <c r="C484" s="12">
        <v>289</v>
      </c>
      <c r="D484" s="12">
        <v>3</v>
      </c>
    </row>
    <row r="485" spans="1:4" ht="28.8" x14ac:dyDescent="0.3">
      <c r="A485" s="12" t="s">
        <v>27</v>
      </c>
      <c r="B485" s="12" t="s">
        <v>585</v>
      </c>
      <c r="C485" s="12">
        <v>976</v>
      </c>
      <c r="D485" s="12">
        <v>10</v>
      </c>
    </row>
    <row r="486" spans="1:4" x14ac:dyDescent="0.3">
      <c r="A486" s="12" t="s">
        <v>27</v>
      </c>
      <c r="B486" s="12" t="s">
        <v>586</v>
      </c>
      <c r="C486" s="12">
        <v>123</v>
      </c>
      <c r="D486" s="12">
        <v>1</v>
      </c>
    </row>
    <row r="487" spans="1:4" ht="43.2" x14ac:dyDescent="0.3">
      <c r="A487" s="12" t="s">
        <v>27</v>
      </c>
      <c r="B487" s="12" t="s">
        <v>587</v>
      </c>
      <c r="C487" s="12">
        <v>216</v>
      </c>
      <c r="D487" s="12">
        <v>2</v>
      </c>
    </row>
    <row r="488" spans="1:4" ht="28.8" x14ac:dyDescent="0.3">
      <c r="A488" s="12" t="s">
        <v>27</v>
      </c>
      <c r="B488" s="12" t="s">
        <v>588</v>
      </c>
      <c r="C488" s="12">
        <v>561</v>
      </c>
      <c r="D488" s="12">
        <v>6</v>
      </c>
    </row>
    <row r="489" spans="1:4" ht="57.6" x14ac:dyDescent="0.3">
      <c r="A489" s="12" t="s">
        <v>27</v>
      </c>
      <c r="B489" s="12" t="s">
        <v>589</v>
      </c>
      <c r="C489" s="12">
        <v>1183</v>
      </c>
      <c r="D489" s="12">
        <v>12</v>
      </c>
    </row>
    <row r="490" spans="1:4" ht="57.6" x14ac:dyDescent="0.3">
      <c r="A490" s="12" t="s">
        <v>27</v>
      </c>
      <c r="B490" s="12" t="s">
        <v>590</v>
      </c>
      <c r="C490" s="12">
        <v>1084</v>
      </c>
      <c r="D490" s="12">
        <v>11</v>
      </c>
    </row>
    <row r="491" spans="1:4" ht="43.2" x14ac:dyDescent="0.3">
      <c r="A491" s="12" t="s">
        <v>27</v>
      </c>
      <c r="B491" s="12" t="s">
        <v>591</v>
      </c>
      <c r="C491" s="12">
        <v>419</v>
      </c>
      <c r="D491" s="12">
        <v>4</v>
      </c>
    </row>
    <row r="492" spans="1:4" ht="43.2" x14ac:dyDescent="0.3">
      <c r="A492" s="12" t="s">
        <v>27</v>
      </c>
      <c r="B492" s="12" t="s">
        <v>592</v>
      </c>
      <c r="C492" s="12">
        <v>393</v>
      </c>
      <c r="D492" s="12">
        <v>4</v>
      </c>
    </row>
    <row r="493" spans="1:4" ht="43.2" x14ac:dyDescent="0.3">
      <c r="A493" s="12" t="s">
        <v>27</v>
      </c>
      <c r="B493" s="12" t="s">
        <v>593</v>
      </c>
      <c r="C493" s="12">
        <v>584</v>
      </c>
      <c r="D493" s="12">
        <v>6</v>
      </c>
    </row>
    <row r="494" spans="1:4" ht="57.6" x14ac:dyDescent="0.3">
      <c r="A494" s="12" t="s">
        <v>27</v>
      </c>
      <c r="B494" s="12" t="s">
        <v>594</v>
      </c>
      <c r="C494" s="12">
        <v>218</v>
      </c>
      <c r="D494" s="12">
        <v>2</v>
      </c>
    </row>
    <row r="495" spans="1:4" x14ac:dyDescent="0.3">
      <c r="A495" s="12" t="s">
        <v>27</v>
      </c>
      <c r="B495" s="12" t="s">
        <v>595</v>
      </c>
      <c r="C495" s="12">
        <v>291</v>
      </c>
      <c r="D495" s="12">
        <v>3</v>
      </c>
    </row>
    <row r="496" spans="1:4" ht="28.8" x14ac:dyDescent="0.3">
      <c r="A496" s="12" t="s">
        <v>27</v>
      </c>
      <c r="B496" s="12" t="s">
        <v>596</v>
      </c>
      <c r="C496" s="12">
        <v>510</v>
      </c>
      <c r="D496" s="12">
        <v>5</v>
      </c>
    </row>
    <row r="497" spans="1:4" ht="43.2" x14ac:dyDescent="0.3">
      <c r="A497" s="12" t="s">
        <v>27</v>
      </c>
      <c r="B497" s="12" t="s">
        <v>597</v>
      </c>
      <c r="C497" s="12">
        <v>356</v>
      </c>
      <c r="D497" s="12">
        <v>4</v>
      </c>
    </row>
    <row r="498" spans="1:4" x14ac:dyDescent="0.3">
      <c r="A498" s="12" t="s">
        <v>27</v>
      </c>
      <c r="B498" s="12" t="s">
        <v>598</v>
      </c>
      <c r="C498" s="12">
        <v>821</v>
      </c>
      <c r="D498" s="12">
        <v>8</v>
      </c>
    </row>
    <row r="499" spans="1:4" ht="43.2" x14ac:dyDescent="0.3">
      <c r="A499" s="12" t="s">
        <v>27</v>
      </c>
      <c r="B499" s="12" t="s">
        <v>599</v>
      </c>
      <c r="C499" s="12">
        <v>561</v>
      </c>
      <c r="D499" s="12">
        <v>6</v>
      </c>
    </row>
    <row r="500" spans="1:4" ht="28.8" x14ac:dyDescent="0.3">
      <c r="A500" s="12" t="s">
        <v>27</v>
      </c>
      <c r="B500" s="12" t="s">
        <v>600</v>
      </c>
      <c r="C500" s="12">
        <v>1647</v>
      </c>
      <c r="D500" s="12">
        <v>16</v>
      </c>
    </row>
    <row r="501" spans="1:4" ht="28.8" x14ac:dyDescent="0.3">
      <c r="A501" s="12" t="s">
        <v>27</v>
      </c>
      <c r="B501" s="12" t="s">
        <v>601</v>
      </c>
      <c r="C501" s="12">
        <v>845</v>
      </c>
      <c r="D501" s="12">
        <v>8</v>
      </c>
    </row>
    <row r="502" spans="1:4" ht="28.8" x14ac:dyDescent="0.3">
      <c r="A502" s="12" t="s">
        <v>27</v>
      </c>
      <c r="B502" s="12" t="s">
        <v>602</v>
      </c>
      <c r="C502" s="12">
        <v>2439</v>
      </c>
      <c r="D502" s="12">
        <v>24</v>
      </c>
    </row>
    <row r="503" spans="1:4" ht="28.8" x14ac:dyDescent="0.3">
      <c r="A503" s="12" t="s">
        <v>27</v>
      </c>
      <c r="B503" s="12" t="s">
        <v>603</v>
      </c>
      <c r="C503" s="12">
        <v>1864</v>
      </c>
      <c r="D503" s="12">
        <v>19</v>
      </c>
    </row>
    <row r="504" spans="1:4" x14ac:dyDescent="0.3">
      <c r="A504" s="12" t="s">
        <v>27</v>
      </c>
      <c r="B504" s="12" t="s">
        <v>604</v>
      </c>
      <c r="C504" s="12">
        <v>734</v>
      </c>
      <c r="D504" s="12">
        <v>7</v>
      </c>
    </row>
    <row r="505" spans="1:4" x14ac:dyDescent="0.3">
      <c r="A505" s="12" t="s">
        <v>28</v>
      </c>
      <c r="B505" s="12" t="s">
        <v>465</v>
      </c>
      <c r="C505" s="12">
        <v>453</v>
      </c>
      <c r="D505" s="12">
        <v>5</v>
      </c>
    </row>
    <row r="506" spans="1:4" ht="28.8" x14ac:dyDescent="0.3">
      <c r="A506" s="12" t="s">
        <v>28</v>
      </c>
      <c r="B506" s="12" t="s">
        <v>605</v>
      </c>
      <c r="C506" s="12">
        <v>461</v>
      </c>
      <c r="D506" s="12">
        <v>5</v>
      </c>
    </row>
    <row r="507" spans="1:4" ht="28.8" x14ac:dyDescent="0.3">
      <c r="A507" s="12" t="s">
        <v>28</v>
      </c>
      <c r="B507" s="12" t="s">
        <v>606</v>
      </c>
      <c r="C507" s="12">
        <v>67</v>
      </c>
      <c r="D507" s="12">
        <v>1</v>
      </c>
    </row>
    <row r="508" spans="1:4" ht="28.8" x14ac:dyDescent="0.3">
      <c r="A508" s="12" t="s">
        <v>28</v>
      </c>
      <c r="B508" s="12" t="s">
        <v>607</v>
      </c>
      <c r="C508" s="12">
        <v>78</v>
      </c>
      <c r="D508" s="12">
        <v>1</v>
      </c>
    </row>
    <row r="509" spans="1:4" ht="28.8" x14ac:dyDescent="0.3">
      <c r="A509" s="12" t="s">
        <v>28</v>
      </c>
      <c r="B509" s="12" t="s">
        <v>608</v>
      </c>
      <c r="C509" s="12">
        <v>86</v>
      </c>
      <c r="D509" s="12">
        <v>1</v>
      </c>
    </row>
    <row r="510" spans="1:4" ht="28.8" x14ac:dyDescent="0.3">
      <c r="A510" s="12" t="s">
        <v>28</v>
      </c>
      <c r="B510" s="12" t="s">
        <v>609</v>
      </c>
      <c r="C510" s="12">
        <v>121</v>
      </c>
      <c r="D510" s="12">
        <v>1</v>
      </c>
    </row>
    <row r="511" spans="1:4" ht="43.2" x14ac:dyDescent="0.3">
      <c r="A511" s="12" t="s">
        <v>28</v>
      </c>
      <c r="B511" s="12" t="s">
        <v>610</v>
      </c>
      <c r="C511" s="12">
        <v>1047</v>
      </c>
      <c r="D511" s="12">
        <v>10</v>
      </c>
    </row>
    <row r="512" spans="1:4" ht="43.2" x14ac:dyDescent="0.3">
      <c r="A512" s="12" t="s">
        <v>28</v>
      </c>
      <c r="B512" s="12" t="s">
        <v>611</v>
      </c>
      <c r="C512" s="12">
        <v>27</v>
      </c>
      <c r="D512" s="12">
        <v>1</v>
      </c>
    </row>
    <row r="513" spans="1:4" ht="28.8" x14ac:dyDescent="0.3">
      <c r="A513" s="12" t="s">
        <v>28</v>
      </c>
      <c r="B513" s="12" t="s">
        <v>612</v>
      </c>
      <c r="C513" s="12">
        <v>64</v>
      </c>
      <c r="D513" s="12">
        <v>1</v>
      </c>
    </row>
    <row r="514" spans="1:4" ht="28.8" x14ac:dyDescent="0.3">
      <c r="A514" s="12" t="s">
        <v>28</v>
      </c>
      <c r="B514" s="12" t="s">
        <v>613</v>
      </c>
      <c r="C514" s="12">
        <v>330</v>
      </c>
      <c r="D514" s="12">
        <v>3</v>
      </c>
    </row>
    <row r="515" spans="1:4" ht="28.8" x14ac:dyDescent="0.3">
      <c r="A515" s="12" t="s">
        <v>28</v>
      </c>
      <c r="B515" s="12" t="s">
        <v>614</v>
      </c>
      <c r="C515" s="12">
        <v>134</v>
      </c>
      <c r="D515" s="12">
        <v>1</v>
      </c>
    </row>
    <row r="516" spans="1:4" ht="43.2" x14ac:dyDescent="0.3">
      <c r="A516" s="12" t="s">
        <v>28</v>
      </c>
      <c r="B516" s="12" t="s">
        <v>615</v>
      </c>
      <c r="C516" s="12">
        <v>245</v>
      </c>
      <c r="D516" s="12">
        <v>2</v>
      </c>
    </row>
    <row r="517" spans="1:4" ht="28.8" x14ac:dyDescent="0.3">
      <c r="A517" s="12" t="s">
        <v>28</v>
      </c>
      <c r="B517" s="12" t="s">
        <v>616</v>
      </c>
      <c r="C517" s="12">
        <v>1077</v>
      </c>
      <c r="D517" s="12">
        <v>11</v>
      </c>
    </row>
    <row r="518" spans="1:4" ht="28.8" x14ac:dyDescent="0.3">
      <c r="A518" s="12" t="s">
        <v>28</v>
      </c>
      <c r="B518" s="12" t="s">
        <v>617</v>
      </c>
      <c r="C518" s="12">
        <v>38</v>
      </c>
      <c r="D518" s="12">
        <v>1</v>
      </c>
    </row>
    <row r="519" spans="1:4" ht="43.2" x14ac:dyDescent="0.3">
      <c r="A519" s="12" t="s">
        <v>28</v>
      </c>
      <c r="B519" s="12" t="s">
        <v>618</v>
      </c>
      <c r="C519" s="12">
        <v>474</v>
      </c>
      <c r="D519" s="12">
        <v>5</v>
      </c>
    </row>
    <row r="520" spans="1:4" ht="43.2" x14ac:dyDescent="0.3">
      <c r="A520" s="12" t="s">
        <v>28</v>
      </c>
      <c r="B520" s="12" t="s">
        <v>619</v>
      </c>
      <c r="C520" s="12">
        <v>844</v>
      </c>
      <c r="D520" s="12">
        <v>8</v>
      </c>
    </row>
    <row r="521" spans="1:4" x14ac:dyDescent="0.3">
      <c r="A521" s="12" t="s">
        <v>28</v>
      </c>
      <c r="B521" s="12" t="s">
        <v>620</v>
      </c>
      <c r="C521" s="12">
        <v>577</v>
      </c>
      <c r="D521" s="12">
        <v>6</v>
      </c>
    </row>
    <row r="522" spans="1:4" ht="43.2" x14ac:dyDescent="0.3">
      <c r="A522" s="12" t="s">
        <v>28</v>
      </c>
      <c r="B522" s="12" t="s">
        <v>278</v>
      </c>
      <c r="C522" s="12">
        <v>416</v>
      </c>
      <c r="D522" s="12">
        <v>4</v>
      </c>
    </row>
    <row r="523" spans="1:4" ht="43.2" x14ac:dyDescent="0.3">
      <c r="A523" s="12" t="s">
        <v>28</v>
      </c>
      <c r="B523" s="12" t="s">
        <v>621</v>
      </c>
      <c r="C523" s="12">
        <v>444</v>
      </c>
      <c r="D523" s="12">
        <v>4</v>
      </c>
    </row>
    <row r="524" spans="1:4" ht="28.8" x14ac:dyDescent="0.3">
      <c r="A524" s="12" t="s">
        <v>28</v>
      </c>
      <c r="B524" s="12" t="s">
        <v>622</v>
      </c>
      <c r="C524" s="12">
        <v>78</v>
      </c>
      <c r="D524" s="12">
        <v>1</v>
      </c>
    </row>
    <row r="525" spans="1:4" ht="43.2" x14ac:dyDescent="0.3">
      <c r="A525" s="12" t="s">
        <v>28</v>
      </c>
      <c r="B525" s="12" t="s">
        <v>623</v>
      </c>
      <c r="C525" s="12">
        <v>654</v>
      </c>
      <c r="D525" s="12">
        <v>7</v>
      </c>
    </row>
    <row r="526" spans="1:4" ht="43.2" x14ac:dyDescent="0.3">
      <c r="A526" s="12" t="s">
        <v>28</v>
      </c>
      <c r="B526" s="12" t="s">
        <v>624</v>
      </c>
      <c r="C526" s="12">
        <v>135</v>
      </c>
      <c r="D526" s="12">
        <v>1</v>
      </c>
    </row>
    <row r="527" spans="1:4" ht="43.2" x14ac:dyDescent="0.3">
      <c r="A527" s="12" t="s">
        <v>28</v>
      </c>
      <c r="B527" s="12" t="s">
        <v>625</v>
      </c>
      <c r="C527" s="12">
        <v>780</v>
      </c>
      <c r="D527" s="12">
        <v>8</v>
      </c>
    </row>
    <row r="528" spans="1:4" ht="43.2" x14ac:dyDescent="0.3">
      <c r="A528" s="12" t="s">
        <v>28</v>
      </c>
      <c r="B528" s="12" t="s">
        <v>626</v>
      </c>
      <c r="C528" s="12">
        <v>346</v>
      </c>
      <c r="D528" s="12">
        <v>3</v>
      </c>
    </row>
    <row r="529" spans="1:4" ht="43.2" x14ac:dyDescent="0.3">
      <c r="A529" s="12" t="s">
        <v>28</v>
      </c>
      <c r="B529" s="12" t="s">
        <v>627</v>
      </c>
      <c r="C529" s="12">
        <v>198</v>
      </c>
      <c r="D529" s="12">
        <v>2</v>
      </c>
    </row>
    <row r="530" spans="1:4" ht="43.2" x14ac:dyDescent="0.3">
      <c r="A530" s="12" t="s">
        <v>28</v>
      </c>
      <c r="B530" s="12" t="s">
        <v>628</v>
      </c>
      <c r="C530" s="12">
        <v>141</v>
      </c>
      <c r="D530" s="12">
        <v>1</v>
      </c>
    </row>
    <row r="531" spans="1:4" ht="28.8" x14ac:dyDescent="0.3">
      <c r="A531" s="12" t="s">
        <v>29</v>
      </c>
      <c r="B531" s="12" t="s">
        <v>629</v>
      </c>
      <c r="C531" s="12">
        <v>572</v>
      </c>
      <c r="D531" s="12">
        <v>6</v>
      </c>
    </row>
    <row r="532" spans="1:4" ht="43.2" x14ac:dyDescent="0.3">
      <c r="A532" s="12" t="s">
        <v>29</v>
      </c>
      <c r="B532" s="12" t="s">
        <v>630</v>
      </c>
      <c r="C532" s="12">
        <v>386</v>
      </c>
      <c r="D532" s="12">
        <v>4</v>
      </c>
    </row>
    <row r="533" spans="1:4" x14ac:dyDescent="0.3">
      <c r="A533" s="12" t="s">
        <v>29</v>
      </c>
      <c r="B533" s="12" t="s">
        <v>631</v>
      </c>
      <c r="C533" s="12">
        <v>489</v>
      </c>
      <c r="D533" s="12">
        <v>5</v>
      </c>
    </row>
    <row r="534" spans="1:4" ht="28.8" x14ac:dyDescent="0.3">
      <c r="A534" s="12" t="s">
        <v>29</v>
      </c>
      <c r="B534" s="12" t="s">
        <v>632</v>
      </c>
      <c r="C534" s="12">
        <v>280</v>
      </c>
      <c r="D534" s="12">
        <v>3</v>
      </c>
    </row>
    <row r="535" spans="1:4" ht="43.2" x14ac:dyDescent="0.3">
      <c r="A535" s="12" t="s">
        <v>29</v>
      </c>
      <c r="B535" s="12" t="s">
        <v>633</v>
      </c>
      <c r="C535" s="12">
        <v>343</v>
      </c>
      <c r="D535" s="12">
        <v>3</v>
      </c>
    </row>
    <row r="536" spans="1:4" x14ac:dyDescent="0.3">
      <c r="A536" s="12" t="s">
        <v>29</v>
      </c>
      <c r="B536" s="12" t="s">
        <v>634</v>
      </c>
      <c r="C536" s="12">
        <v>172</v>
      </c>
      <c r="D536" s="12">
        <v>2</v>
      </c>
    </row>
    <row r="537" spans="1:4" ht="43.2" x14ac:dyDescent="0.3">
      <c r="A537" s="12" t="s">
        <v>29</v>
      </c>
      <c r="B537" s="12" t="s">
        <v>635</v>
      </c>
      <c r="C537" s="12">
        <v>201.000001</v>
      </c>
      <c r="D537" s="12">
        <v>2</v>
      </c>
    </row>
    <row r="538" spans="1:4" x14ac:dyDescent="0.3">
      <c r="A538" s="12" t="s">
        <v>29</v>
      </c>
      <c r="B538" s="12" t="s">
        <v>636</v>
      </c>
      <c r="C538" s="12">
        <v>96</v>
      </c>
      <c r="D538" s="12">
        <v>1</v>
      </c>
    </row>
    <row r="539" spans="1:4" ht="72" x14ac:dyDescent="0.3">
      <c r="A539" s="12" t="s">
        <v>29</v>
      </c>
      <c r="B539" s="12" t="s">
        <v>637</v>
      </c>
      <c r="C539" s="12">
        <v>735</v>
      </c>
      <c r="D539" s="12">
        <v>7</v>
      </c>
    </row>
    <row r="540" spans="1:4" ht="43.2" x14ac:dyDescent="0.3">
      <c r="A540" s="12" t="s">
        <v>29</v>
      </c>
      <c r="B540" s="12" t="s">
        <v>638</v>
      </c>
      <c r="C540" s="12">
        <v>195</v>
      </c>
      <c r="D540" s="12">
        <v>2</v>
      </c>
    </row>
    <row r="541" spans="1:4" ht="28.8" x14ac:dyDescent="0.3">
      <c r="A541" s="12" t="s">
        <v>29</v>
      </c>
      <c r="B541" s="12" t="s">
        <v>639</v>
      </c>
      <c r="C541" s="12">
        <v>1076</v>
      </c>
      <c r="D541" s="12">
        <v>11</v>
      </c>
    </row>
    <row r="542" spans="1:4" ht="43.2" x14ac:dyDescent="0.3">
      <c r="A542" s="12" t="s">
        <v>29</v>
      </c>
      <c r="B542" s="12" t="s">
        <v>640</v>
      </c>
      <c r="C542" s="12">
        <v>924</v>
      </c>
      <c r="D542" s="12">
        <v>9</v>
      </c>
    </row>
    <row r="543" spans="1:4" ht="57.6" x14ac:dyDescent="0.3">
      <c r="A543" s="12" t="s">
        <v>29</v>
      </c>
      <c r="B543" s="12" t="s">
        <v>641</v>
      </c>
      <c r="C543" s="12">
        <v>832</v>
      </c>
      <c r="D543" s="12">
        <v>8</v>
      </c>
    </row>
    <row r="544" spans="1:4" ht="43.2" x14ac:dyDescent="0.3">
      <c r="A544" s="12" t="s">
        <v>29</v>
      </c>
      <c r="B544" s="12" t="s">
        <v>642</v>
      </c>
      <c r="C544" s="12">
        <v>788</v>
      </c>
      <c r="D544" s="12">
        <v>8</v>
      </c>
    </row>
    <row r="545" spans="1:4" ht="43.2" x14ac:dyDescent="0.3">
      <c r="A545" s="12" t="s">
        <v>29</v>
      </c>
      <c r="B545" s="12" t="s">
        <v>643</v>
      </c>
      <c r="C545" s="12">
        <v>1166</v>
      </c>
      <c r="D545" s="12">
        <v>12</v>
      </c>
    </row>
    <row r="546" spans="1:4" ht="43.2" x14ac:dyDescent="0.3">
      <c r="A546" s="12" t="s">
        <v>29</v>
      </c>
      <c r="B546" s="12" t="s">
        <v>644</v>
      </c>
      <c r="C546" s="12">
        <v>617</v>
      </c>
      <c r="D546" s="12">
        <v>6</v>
      </c>
    </row>
    <row r="547" spans="1:4" ht="43.2" x14ac:dyDescent="0.3">
      <c r="A547" s="12" t="s">
        <v>29</v>
      </c>
      <c r="B547" s="12" t="s">
        <v>645</v>
      </c>
      <c r="C547" s="12">
        <v>1371</v>
      </c>
      <c r="D547" s="12">
        <v>14</v>
      </c>
    </row>
    <row r="548" spans="1:4" ht="43.2" x14ac:dyDescent="0.3">
      <c r="A548" s="12" t="s">
        <v>29</v>
      </c>
      <c r="B548" s="12" t="s">
        <v>646</v>
      </c>
      <c r="C548" s="12">
        <v>954</v>
      </c>
      <c r="D548" s="12">
        <v>10</v>
      </c>
    </row>
    <row r="549" spans="1:4" ht="43.2" x14ac:dyDescent="0.3">
      <c r="A549" s="12" t="s">
        <v>29</v>
      </c>
      <c r="B549" s="12" t="s">
        <v>647</v>
      </c>
      <c r="C549" s="12">
        <v>1880</v>
      </c>
      <c r="D549" s="12">
        <v>19</v>
      </c>
    </row>
    <row r="550" spans="1:4" x14ac:dyDescent="0.3">
      <c r="A550" s="12" t="s">
        <v>29</v>
      </c>
      <c r="B550" s="12" t="s">
        <v>648</v>
      </c>
      <c r="C550" s="12">
        <v>695</v>
      </c>
      <c r="D550" s="12">
        <v>7</v>
      </c>
    </row>
    <row r="551" spans="1:4" x14ac:dyDescent="0.3">
      <c r="A551" s="12" t="s">
        <v>29</v>
      </c>
      <c r="B551" s="12" t="s">
        <v>649</v>
      </c>
      <c r="C551" s="12">
        <v>363</v>
      </c>
      <c r="D551" s="12">
        <v>4</v>
      </c>
    </row>
    <row r="552" spans="1:4" ht="28.8" x14ac:dyDescent="0.3">
      <c r="A552" s="12" t="s">
        <v>29</v>
      </c>
      <c r="B552" s="12" t="s">
        <v>650</v>
      </c>
      <c r="C552" s="12">
        <v>617</v>
      </c>
      <c r="D552" s="12">
        <v>6</v>
      </c>
    </row>
    <row r="553" spans="1:4" ht="28.8" x14ac:dyDescent="0.3">
      <c r="A553" s="12" t="s">
        <v>29</v>
      </c>
      <c r="B553" s="12" t="s">
        <v>651</v>
      </c>
      <c r="C553" s="12">
        <v>785</v>
      </c>
      <c r="D553" s="12">
        <v>8</v>
      </c>
    </row>
    <row r="554" spans="1:4" x14ac:dyDescent="0.3">
      <c r="A554" s="12" t="s">
        <v>29</v>
      </c>
      <c r="B554" s="12" t="s">
        <v>652</v>
      </c>
      <c r="C554" s="12">
        <v>42</v>
      </c>
      <c r="D554" s="12">
        <v>1</v>
      </c>
    </row>
    <row r="555" spans="1:4" ht="43.2" x14ac:dyDescent="0.3">
      <c r="A555" s="12" t="s">
        <v>29</v>
      </c>
      <c r="B555" s="12" t="s">
        <v>653</v>
      </c>
      <c r="C555" s="12">
        <v>898</v>
      </c>
      <c r="D555" s="12">
        <v>9</v>
      </c>
    </row>
    <row r="556" spans="1:4" ht="43.2" x14ac:dyDescent="0.3">
      <c r="A556" s="12" t="s">
        <v>29</v>
      </c>
      <c r="B556" s="12" t="s">
        <v>654</v>
      </c>
      <c r="C556" s="12">
        <v>1337</v>
      </c>
      <c r="D556" s="12">
        <v>13</v>
      </c>
    </row>
    <row r="557" spans="1:4" ht="43.2" x14ac:dyDescent="0.3">
      <c r="A557" s="12" t="s">
        <v>30</v>
      </c>
      <c r="B557" s="12" t="s">
        <v>655</v>
      </c>
      <c r="C557" s="12">
        <v>1095</v>
      </c>
      <c r="D557" s="12">
        <v>11</v>
      </c>
    </row>
    <row r="558" spans="1:4" ht="28.8" x14ac:dyDescent="0.3">
      <c r="A558" s="12" t="s">
        <v>30</v>
      </c>
      <c r="B558" s="12" t="s">
        <v>656</v>
      </c>
      <c r="C558" s="12">
        <v>1465</v>
      </c>
      <c r="D558" s="12">
        <v>15</v>
      </c>
    </row>
    <row r="559" spans="1:4" ht="43.2" x14ac:dyDescent="0.3">
      <c r="A559" s="12" t="s">
        <v>30</v>
      </c>
      <c r="B559" s="12" t="s">
        <v>657</v>
      </c>
      <c r="C559" s="12">
        <v>1182</v>
      </c>
      <c r="D559" s="12">
        <v>12</v>
      </c>
    </row>
    <row r="560" spans="1:4" ht="43.2" x14ac:dyDescent="0.3">
      <c r="A560" s="12" t="s">
        <v>30</v>
      </c>
      <c r="B560" s="12" t="s">
        <v>658</v>
      </c>
      <c r="C560" s="12">
        <v>843</v>
      </c>
      <c r="D560" s="12">
        <v>8</v>
      </c>
    </row>
    <row r="561" spans="1:4" ht="28.8" x14ac:dyDescent="0.3">
      <c r="A561" s="12" t="s">
        <v>30</v>
      </c>
      <c r="B561" s="12" t="s">
        <v>659</v>
      </c>
      <c r="C561" s="12">
        <v>214</v>
      </c>
      <c r="D561" s="12">
        <v>2</v>
      </c>
    </row>
    <row r="562" spans="1:4" ht="28.8" x14ac:dyDescent="0.3">
      <c r="A562" s="12" t="s">
        <v>30</v>
      </c>
      <c r="B562" s="12" t="s">
        <v>660</v>
      </c>
      <c r="C562" s="12">
        <v>231</v>
      </c>
      <c r="D562" s="12">
        <v>2</v>
      </c>
    </row>
    <row r="563" spans="1:4" ht="43.2" x14ac:dyDescent="0.3">
      <c r="A563" s="12" t="s">
        <v>30</v>
      </c>
      <c r="B563" s="12" t="s">
        <v>661</v>
      </c>
      <c r="C563" s="12">
        <v>874</v>
      </c>
      <c r="D563" s="12">
        <v>9</v>
      </c>
    </row>
    <row r="564" spans="1:4" ht="43.2" x14ac:dyDescent="0.3">
      <c r="A564" s="12" t="s">
        <v>30</v>
      </c>
      <c r="B564" s="12" t="s">
        <v>662</v>
      </c>
      <c r="C564" s="12">
        <v>509</v>
      </c>
      <c r="D564" s="12">
        <v>5</v>
      </c>
    </row>
    <row r="565" spans="1:4" ht="57.6" x14ac:dyDescent="0.3">
      <c r="A565" s="12" t="s">
        <v>30</v>
      </c>
      <c r="B565" s="12" t="s">
        <v>663</v>
      </c>
      <c r="C565" s="12">
        <v>1363</v>
      </c>
      <c r="D565" s="12">
        <v>14</v>
      </c>
    </row>
    <row r="566" spans="1:4" ht="57.6" x14ac:dyDescent="0.3">
      <c r="A566" s="12" t="s">
        <v>30</v>
      </c>
      <c r="B566" s="12" t="s">
        <v>664</v>
      </c>
      <c r="C566" s="12">
        <v>1452</v>
      </c>
      <c r="D566" s="12">
        <v>15</v>
      </c>
    </row>
    <row r="567" spans="1:4" ht="28.8" x14ac:dyDescent="0.3">
      <c r="A567" s="12" t="s">
        <v>30</v>
      </c>
      <c r="B567" s="12" t="s">
        <v>665</v>
      </c>
      <c r="C567" s="12">
        <v>1237</v>
      </c>
      <c r="D567" s="12">
        <v>12</v>
      </c>
    </row>
    <row r="568" spans="1:4" ht="43.2" x14ac:dyDescent="0.3">
      <c r="A568" s="12" t="s">
        <v>30</v>
      </c>
      <c r="B568" s="12" t="s">
        <v>666</v>
      </c>
      <c r="C568" s="12">
        <v>902</v>
      </c>
      <c r="D568" s="12">
        <v>9</v>
      </c>
    </row>
    <row r="569" spans="1:4" ht="28.8" x14ac:dyDescent="0.3">
      <c r="A569" s="12" t="s">
        <v>30</v>
      </c>
      <c r="B569" s="12" t="s">
        <v>667</v>
      </c>
      <c r="C569" s="12">
        <v>453</v>
      </c>
      <c r="D569" s="12">
        <v>5</v>
      </c>
    </row>
    <row r="570" spans="1:4" ht="28.8" x14ac:dyDescent="0.3">
      <c r="A570" s="12" t="s">
        <v>30</v>
      </c>
      <c r="B570" s="12" t="s">
        <v>668</v>
      </c>
      <c r="C570" s="12">
        <v>376</v>
      </c>
      <c r="D570" s="12">
        <v>4</v>
      </c>
    </row>
    <row r="571" spans="1:4" ht="28.8" x14ac:dyDescent="0.3">
      <c r="A571" s="12" t="s">
        <v>30</v>
      </c>
      <c r="B571" s="12" t="s">
        <v>669</v>
      </c>
      <c r="C571" s="12">
        <v>1079</v>
      </c>
      <c r="D571" s="12">
        <v>11</v>
      </c>
    </row>
    <row r="572" spans="1:4" ht="28.8" x14ac:dyDescent="0.3">
      <c r="A572" s="12" t="s">
        <v>30</v>
      </c>
      <c r="B572" s="12" t="s">
        <v>670</v>
      </c>
      <c r="C572" s="12">
        <v>362</v>
      </c>
      <c r="D572" s="12">
        <v>4</v>
      </c>
    </row>
    <row r="573" spans="1:4" ht="28.8" x14ac:dyDescent="0.3">
      <c r="A573" s="12" t="s">
        <v>30</v>
      </c>
      <c r="B573" s="12" t="s">
        <v>671</v>
      </c>
      <c r="C573" s="12">
        <v>301</v>
      </c>
      <c r="D573" s="12">
        <v>3</v>
      </c>
    </row>
    <row r="574" spans="1:4" ht="28.8" x14ac:dyDescent="0.3">
      <c r="A574" s="12" t="s">
        <v>30</v>
      </c>
      <c r="B574" s="12" t="s">
        <v>672</v>
      </c>
      <c r="C574" s="12">
        <v>382</v>
      </c>
      <c r="D574" s="12">
        <v>4</v>
      </c>
    </row>
    <row r="575" spans="1:4" ht="43.2" x14ac:dyDescent="0.3">
      <c r="A575" s="12" t="s">
        <v>30</v>
      </c>
      <c r="B575" s="12" t="s">
        <v>673</v>
      </c>
      <c r="C575" s="12">
        <v>1925</v>
      </c>
      <c r="D575" s="12">
        <v>19</v>
      </c>
    </row>
    <row r="576" spans="1:4" ht="28.8" x14ac:dyDescent="0.3">
      <c r="A576" s="12" t="s">
        <v>30</v>
      </c>
      <c r="B576" s="12" t="s">
        <v>674</v>
      </c>
      <c r="C576" s="12">
        <v>453</v>
      </c>
      <c r="D576" s="12">
        <v>5</v>
      </c>
    </row>
    <row r="577" spans="1:4" ht="43.2" x14ac:dyDescent="0.3">
      <c r="A577" s="12" t="s">
        <v>30</v>
      </c>
      <c r="B577" s="12" t="s">
        <v>675</v>
      </c>
      <c r="C577" s="12">
        <v>379</v>
      </c>
      <c r="D577" s="12">
        <v>4</v>
      </c>
    </row>
    <row r="578" spans="1:4" ht="28.8" x14ac:dyDescent="0.3">
      <c r="A578" s="12" t="s">
        <v>30</v>
      </c>
      <c r="B578" s="12" t="s">
        <v>676</v>
      </c>
      <c r="C578" s="12">
        <v>382</v>
      </c>
      <c r="D578" s="12">
        <v>4</v>
      </c>
    </row>
    <row r="579" spans="1:4" ht="28.8" x14ac:dyDescent="0.3">
      <c r="A579" s="12" t="s">
        <v>30</v>
      </c>
      <c r="B579" s="12" t="s">
        <v>677</v>
      </c>
      <c r="C579" s="12">
        <v>1293</v>
      </c>
      <c r="D579" s="12">
        <v>13</v>
      </c>
    </row>
    <row r="580" spans="1:4" ht="28.8" x14ac:dyDescent="0.3">
      <c r="A580" s="12" t="s">
        <v>30</v>
      </c>
      <c r="B580" s="12" t="s">
        <v>678</v>
      </c>
      <c r="C580" s="12">
        <v>753</v>
      </c>
      <c r="D580" s="12">
        <v>8</v>
      </c>
    </row>
    <row r="581" spans="1:4" ht="28.8" x14ac:dyDescent="0.3">
      <c r="A581" s="12" t="s">
        <v>30</v>
      </c>
      <c r="B581" s="12" t="s">
        <v>679</v>
      </c>
      <c r="C581" s="12">
        <v>769</v>
      </c>
      <c r="D581" s="12">
        <v>8</v>
      </c>
    </row>
    <row r="582" spans="1:4" ht="28.8" x14ac:dyDescent="0.3">
      <c r="A582" s="12" t="s">
        <v>30</v>
      </c>
      <c r="B582" s="12" t="s">
        <v>680</v>
      </c>
      <c r="C582" s="12">
        <v>1318</v>
      </c>
      <c r="D582" s="12">
        <v>13</v>
      </c>
    </row>
    <row r="583" spans="1:4" ht="28.8" x14ac:dyDescent="0.3">
      <c r="A583" s="12" t="s">
        <v>30</v>
      </c>
      <c r="B583" s="12" t="s">
        <v>681</v>
      </c>
      <c r="C583" s="12">
        <v>1405</v>
      </c>
      <c r="D583" s="12">
        <v>14</v>
      </c>
    </row>
    <row r="584" spans="1:4" ht="28.8" x14ac:dyDescent="0.3">
      <c r="A584" s="12" t="s">
        <v>30</v>
      </c>
      <c r="B584" s="12" t="s">
        <v>682</v>
      </c>
      <c r="C584" s="12">
        <v>398</v>
      </c>
      <c r="D584" s="12">
        <v>4</v>
      </c>
    </row>
    <row r="585" spans="1:4" ht="28.8" x14ac:dyDescent="0.3">
      <c r="A585" s="12" t="s">
        <v>30</v>
      </c>
      <c r="B585" s="12" t="s">
        <v>683</v>
      </c>
      <c r="C585" s="12">
        <v>450</v>
      </c>
      <c r="D585" s="12">
        <v>4</v>
      </c>
    </row>
    <row r="586" spans="1:4" ht="43.2" x14ac:dyDescent="0.3">
      <c r="A586" s="12" t="s">
        <v>30</v>
      </c>
      <c r="B586" s="12" t="s">
        <v>684</v>
      </c>
      <c r="C586" s="12">
        <v>511</v>
      </c>
      <c r="D586" s="12">
        <v>5</v>
      </c>
    </row>
    <row r="587" spans="1:4" ht="28.8" x14ac:dyDescent="0.3">
      <c r="A587" s="12" t="s">
        <v>30</v>
      </c>
      <c r="B587" s="12" t="s">
        <v>685</v>
      </c>
      <c r="C587" s="12">
        <v>1447</v>
      </c>
      <c r="D587" s="12">
        <v>14</v>
      </c>
    </row>
    <row r="588" spans="1:4" ht="43.2" x14ac:dyDescent="0.3">
      <c r="A588" s="12" t="s">
        <v>30</v>
      </c>
      <c r="B588" s="12" t="s">
        <v>686</v>
      </c>
      <c r="C588" s="12">
        <v>1713</v>
      </c>
      <c r="D588" s="12">
        <v>17</v>
      </c>
    </row>
    <row r="589" spans="1:4" ht="43.2" x14ac:dyDescent="0.3">
      <c r="A589" s="12" t="s">
        <v>30</v>
      </c>
      <c r="B589" s="12" t="s">
        <v>687</v>
      </c>
      <c r="C589" s="12">
        <v>972</v>
      </c>
      <c r="D589" s="12">
        <v>10</v>
      </c>
    </row>
    <row r="590" spans="1:4" ht="43.2" x14ac:dyDescent="0.3">
      <c r="A590" s="12" t="s">
        <v>30</v>
      </c>
      <c r="B590" s="12" t="s">
        <v>688</v>
      </c>
      <c r="C590" s="12">
        <v>969</v>
      </c>
      <c r="D590" s="12">
        <v>10</v>
      </c>
    </row>
    <row r="591" spans="1:4" ht="28.8" x14ac:dyDescent="0.3">
      <c r="A591" s="12" t="s">
        <v>30</v>
      </c>
      <c r="B591" s="12" t="s">
        <v>689</v>
      </c>
      <c r="C591" s="12">
        <v>501</v>
      </c>
      <c r="D591" s="12">
        <v>5</v>
      </c>
    </row>
    <row r="592" spans="1:4" ht="28.8" x14ac:dyDescent="0.3">
      <c r="A592" s="12" t="s">
        <v>30</v>
      </c>
      <c r="B592" s="12" t="s">
        <v>690</v>
      </c>
      <c r="C592" s="12">
        <v>656</v>
      </c>
      <c r="D592" s="12">
        <v>7</v>
      </c>
    </row>
    <row r="593" spans="1:4" ht="28.8" x14ac:dyDescent="0.3">
      <c r="A593" s="12" t="s">
        <v>30</v>
      </c>
      <c r="B593" s="12" t="s">
        <v>691</v>
      </c>
      <c r="C593" s="12">
        <v>1481</v>
      </c>
      <c r="D593" s="12">
        <v>15</v>
      </c>
    </row>
    <row r="594" spans="1:4" ht="28.8" x14ac:dyDescent="0.3">
      <c r="A594" s="12" t="s">
        <v>30</v>
      </c>
      <c r="B594" s="12" t="s">
        <v>692</v>
      </c>
      <c r="C594" s="12">
        <v>1574</v>
      </c>
      <c r="D594" s="12">
        <v>16</v>
      </c>
    </row>
    <row r="595" spans="1:4" ht="43.2" x14ac:dyDescent="0.3">
      <c r="A595" s="12" t="s">
        <v>30</v>
      </c>
      <c r="B595" s="12" t="s">
        <v>693</v>
      </c>
      <c r="C595" s="12">
        <v>1708</v>
      </c>
      <c r="D595" s="12">
        <v>17</v>
      </c>
    </row>
    <row r="596" spans="1:4" ht="43.2" x14ac:dyDescent="0.3">
      <c r="A596" s="12" t="s">
        <v>30</v>
      </c>
      <c r="B596" s="12" t="s">
        <v>694</v>
      </c>
      <c r="C596" s="12">
        <v>1129</v>
      </c>
      <c r="D596" s="12">
        <v>11</v>
      </c>
    </row>
    <row r="597" spans="1:4" ht="28.8" x14ac:dyDescent="0.3">
      <c r="A597" s="12" t="s">
        <v>30</v>
      </c>
      <c r="B597" s="12" t="s">
        <v>695</v>
      </c>
      <c r="C597" s="12">
        <v>867</v>
      </c>
      <c r="D597" s="12">
        <v>9</v>
      </c>
    </row>
    <row r="598" spans="1:4" ht="43.2" x14ac:dyDescent="0.3">
      <c r="A598" s="12" t="s">
        <v>30</v>
      </c>
      <c r="B598" s="12" t="s">
        <v>696</v>
      </c>
      <c r="C598" s="12">
        <v>508</v>
      </c>
      <c r="D598" s="12">
        <v>5</v>
      </c>
    </row>
    <row r="599" spans="1:4" ht="28.8" x14ac:dyDescent="0.3">
      <c r="A599" s="12" t="s">
        <v>30</v>
      </c>
      <c r="B599" s="12" t="s">
        <v>697</v>
      </c>
      <c r="C599" s="12">
        <v>670</v>
      </c>
      <c r="D599" s="12">
        <v>7</v>
      </c>
    </row>
    <row r="600" spans="1:4" ht="28.8" x14ac:dyDescent="0.3">
      <c r="A600" s="12" t="s">
        <v>30</v>
      </c>
      <c r="B600" s="12" t="s">
        <v>698</v>
      </c>
      <c r="C600" s="12">
        <v>647</v>
      </c>
      <c r="D600" s="12">
        <v>6</v>
      </c>
    </row>
    <row r="601" spans="1:4" ht="28.8" x14ac:dyDescent="0.3">
      <c r="A601" s="12" t="s">
        <v>30</v>
      </c>
      <c r="B601" s="12" t="s">
        <v>699</v>
      </c>
      <c r="C601" s="12">
        <v>910</v>
      </c>
      <c r="D601" s="12">
        <v>9</v>
      </c>
    </row>
    <row r="602" spans="1:4" ht="28.8" x14ac:dyDescent="0.3">
      <c r="A602" s="12" t="s">
        <v>30</v>
      </c>
      <c r="B602" s="12" t="s">
        <v>700</v>
      </c>
      <c r="C602" s="12">
        <v>612</v>
      </c>
      <c r="D602" s="12">
        <v>6</v>
      </c>
    </row>
    <row r="603" spans="1:4" ht="57.6" x14ac:dyDescent="0.3">
      <c r="A603" s="12" t="s">
        <v>30</v>
      </c>
      <c r="B603" s="12" t="s">
        <v>701</v>
      </c>
      <c r="C603" s="12">
        <v>716</v>
      </c>
      <c r="D603" s="12">
        <v>7</v>
      </c>
    </row>
    <row r="604" spans="1:4" ht="43.2" x14ac:dyDescent="0.3">
      <c r="A604" s="12" t="s">
        <v>30</v>
      </c>
      <c r="B604" s="12" t="s">
        <v>702</v>
      </c>
      <c r="C604" s="12">
        <v>646</v>
      </c>
      <c r="D604" s="12">
        <v>6</v>
      </c>
    </row>
    <row r="605" spans="1:4" ht="57.6" x14ac:dyDescent="0.3">
      <c r="A605" s="12" t="s">
        <v>30</v>
      </c>
      <c r="B605" s="12" t="s">
        <v>703</v>
      </c>
      <c r="C605" s="12">
        <v>798</v>
      </c>
      <c r="D605" s="12">
        <v>8</v>
      </c>
    </row>
    <row r="606" spans="1:4" ht="57.6" x14ac:dyDescent="0.3">
      <c r="A606" s="12" t="s">
        <v>30</v>
      </c>
      <c r="B606" s="12" t="s">
        <v>704</v>
      </c>
      <c r="C606" s="12">
        <v>1321</v>
      </c>
      <c r="D606" s="12">
        <v>13</v>
      </c>
    </row>
    <row r="607" spans="1:4" ht="43.2" x14ac:dyDescent="0.3">
      <c r="A607" s="12" t="s">
        <v>30</v>
      </c>
      <c r="B607" s="12" t="s">
        <v>705</v>
      </c>
      <c r="C607" s="12">
        <v>697</v>
      </c>
      <c r="D607" s="12">
        <v>7</v>
      </c>
    </row>
    <row r="608" spans="1:4" ht="43.2" x14ac:dyDescent="0.3">
      <c r="A608" s="12" t="s">
        <v>30</v>
      </c>
      <c r="B608" s="12" t="s">
        <v>706</v>
      </c>
      <c r="C608" s="12">
        <v>573</v>
      </c>
      <c r="D608" s="12">
        <v>6</v>
      </c>
    </row>
    <row r="609" spans="1:4" ht="43.2" x14ac:dyDescent="0.3">
      <c r="A609" s="12" t="s">
        <v>30</v>
      </c>
      <c r="B609" s="12" t="s">
        <v>707</v>
      </c>
      <c r="C609" s="12">
        <v>816</v>
      </c>
      <c r="D609" s="12">
        <v>8</v>
      </c>
    </row>
    <row r="610" spans="1:4" ht="43.2" x14ac:dyDescent="0.3">
      <c r="A610" s="12" t="s">
        <v>30</v>
      </c>
      <c r="B610" s="12" t="s">
        <v>708</v>
      </c>
      <c r="C610" s="12">
        <v>1157</v>
      </c>
      <c r="D610" s="12">
        <v>12</v>
      </c>
    </row>
    <row r="611" spans="1:4" ht="43.2" x14ac:dyDescent="0.3">
      <c r="A611" s="12" t="s">
        <v>30</v>
      </c>
      <c r="B611" s="12" t="s">
        <v>709</v>
      </c>
      <c r="C611" s="12">
        <v>1257</v>
      </c>
      <c r="D611" s="12">
        <v>13</v>
      </c>
    </row>
    <row r="612" spans="1:4" ht="43.2" x14ac:dyDescent="0.3">
      <c r="A612" s="12" t="s">
        <v>30</v>
      </c>
      <c r="B612" s="12" t="s">
        <v>710</v>
      </c>
      <c r="C612" s="12">
        <v>864</v>
      </c>
      <c r="D612" s="12">
        <v>9</v>
      </c>
    </row>
    <row r="613" spans="1:4" ht="43.2" x14ac:dyDescent="0.3">
      <c r="A613" s="12" t="s">
        <v>30</v>
      </c>
      <c r="B613" s="12" t="s">
        <v>711</v>
      </c>
      <c r="C613" s="12">
        <v>803</v>
      </c>
      <c r="D613" s="12">
        <v>8</v>
      </c>
    </row>
    <row r="614" spans="1:4" ht="57.6" x14ac:dyDescent="0.3">
      <c r="A614" s="12" t="s">
        <v>30</v>
      </c>
      <c r="B614" s="12" t="s">
        <v>712</v>
      </c>
      <c r="C614" s="12">
        <v>1052</v>
      </c>
      <c r="D614" s="12">
        <v>11</v>
      </c>
    </row>
    <row r="615" spans="1:4" ht="28.8" x14ac:dyDescent="0.3">
      <c r="A615" s="12" t="s">
        <v>30</v>
      </c>
      <c r="B615" s="12" t="s">
        <v>713</v>
      </c>
      <c r="C615" s="12">
        <v>1900</v>
      </c>
      <c r="D615" s="12">
        <v>19</v>
      </c>
    </row>
    <row r="616" spans="1:4" x14ac:dyDescent="0.3">
      <c r="A616" s="12" t="s">
        <v>30</v>
      </c>
      <c r="B616" s="12" t="s">
        <v>714</v>
      </c>
      <c r="C616" s="12">
        <v>751</v>
      </c>
      <c r="D616" s="12">
        <v>8</v>
      </c>
    </row>
    <row r="617" spans="1:4" ht="43.2" x14ac:dyDescent="0.3">
      <c r="A617" s="12" t="s">
        <v>30</v>
      </c>
      <c r="B617" s="12" t="s">
        <v>715</v>
      </c>
      <c r="C617" s="12">
        <v>1380</v>
      </c>
      <c r="D617" s="12">
        <v>14</v>
      </c>
    </row>
    <row r="618" spans="1:4" ht="43.2" x14ac:dyDescent="0.3">
      <c r="A618" s="12" t="s">
        <v>30</v>
      </c>
      <c r="B618" s="12" t="s">
        <v>716</v>
      </c>
      <c r="C618" s="12">
        <v>738</v>
      </c>
      <c r="D618" s="12">
        <v>7</v>
      </c>
    </row>
    <row r="619" spans="1:4" ht="43.2" x14ac:dyDescent="0.3">
      <c r="A619" s="12" t="s">
        <v>30</v>
      </c>
      <c r="B619" s="12" t="s">
        <v>717</v>
      </c>
      <c r="C619" s="12">
        <v>1281</v>
      </c>
      <c r="D619" s="12">
        <v>13</v>
      </c>
    </row>
    <row r="620" spans="1:4" ht="43.2" x14ac:dyDescent="0.3">
      <c r="A620" s="12" t="s">
        <v>30</v>
      </c>
      <c r="B620" s="12" t="s">
        <v>718</v>
      </c>
      <c r="C620" s="12">
        <v>1103</v>
      </c>
      <c r="D620" s="12">
        <v>11</v>
      </c>
    </row>
    <row r="621" spans="1:4" ht="57.6" x14ac:dyDescent="0.3">
      <c r="A621" s="12" t="s">
        <v>30</v>
      </c>
      <c r="B621" s="12" t="s">
        <v>719</v>
      </c>
      <c r="C621" s="12">
        <v>1480</v>
      </c>
      <c r="D621" s="12">
        <v>15</v>
      </c>
    </row>
    <row r="622" spans="1:4" ht="57.6" x14ac:dyDescent="0.3">
      <c r="A622" s="12" t="s">
        <v>30</v>
      </c>
      <c r="B622" s="12" t="s">
        <v>720</v>
      </c>
      <c r="C622" s="12">
        <v>830</v>
      </c>
      <c r="D622" s="12">
        <v>8</v>
      </c>
    </row>
    <row r="623" spans="1:4" ht="57.6" x14ac:dyDescent="0.3">
      <c r="A623" s="12" t="s">
        <v>30</v>
      </c>
      <c r="B623" s="12" t="s">
        <v>721</v>
      </c>
      <c r="C623" s="12">
        <v>370</v>
      </c>
      <c r="D623" s="12">
        <v>4</v>
      </c>
    </row>
    <row r="624" spans="1:4" ht="57.6" x14ac:dyDescent="0.3">
      <c r="A624" s="12" t="s">
        <v>30</v>
      </c>
      <c r="B624" s="12" t="s">
        <v>722</v>
      </c>
      <c r="C624" s="12">
        <v>772</v>
      </c>
      <c r="D624" s="12">
        <v>8</v>
      </c>
    </row>
    <row r="625" spans="1:4" ht="43.2" x14ac:dyDescent="0.3">
      <c r="A625" s="12" t="s">
        <v>30</v>
      </c>
      <c r="B625" s="12" t="s">
        <v>723</v>
      </c>
      <c r="C625" s="12">
        <v>689</v>
      </c>
      <c r="D625" s="12">
        <v>7</v>
      </c>
    </row>
    <row r="626" spans="1:4" ht="43.2" x14ac:dyDescent="0.3">
      <c r="A626" s="12" t="s">
        <v>30</v>
      </c>
      <c r="B626" s="12" t="s">
        <v>724</v>
      </c>
      <c r="C626" s="12">
        <v>1041</v>
      </c>
      <c r="D626" s="12">
        <v>10</v>
      </c>
    </row>
    <row r="627" spans="1:4" ht="43.2" x14ac:dyDescent="0.3">
      <c r="A627" s="12" t="s">
        <v>30</v>
      </c>
      <c r="B627" s="12" t="s">
        <v>725</v>
      </c>
      <c r="C627" s="12">
        <v>1013</v>
      </c>
      <c r="D627" s="12">
        <v>10</v>
      </c>
    </row>
    <row r="628" spans="1:4" ht="43.2" x14ac:dyDescent="0.3">
      <c r="A628" s="12" t="s">
        <v>30</v>
      </c>
      <c r="B628" s="12" t="s">
        <v>726</v>
      </c>
      <c r="C628" s="12">
        <v>852</v>
      </c>
      <c r="D628" s="12">
        <v>9</v>
      </c>
    </row>
    <row r="629" spans="1:4" ht="57.6" x14ac:dyDescent="0.3">
      <c r="A629" s="12" t="s">
        <v>30</v>
      </c>
      <c r="B629" s="12" t="s">
        <v>727</v>
      </c>
      <c r="C629" s="12">
        <v>815</v>
      </c>
      <c r="D629" s="12">
        <v>8</v>
      </c>
    </row>
    <row r="630" spans="1:4" ht="57.6" x14ac:dyDescent="0.3">
      <c r="A630" s="12" t="s">
        <v>30</v>
      </c>
      <c r="B630" s="12" t="s">
        <v>728</v>
      </c>
      <c r="C630" s="12">
        <v>1388</v>
      </c>
      <c r="D630" s="12">
        <v>14</v>
      </c>
    </row>
    <row r="631" spans="1:4" ht="28.8" x14ac:dyDescent="0.3">
      <c r="A631" s="12" t="s">
        <v>30</v>
      </c>
      <c r="B631" s="12" t="s">
        <v>729</v>
      </c>
      <c r="C631" s="12">
        <v>222</v>
      </c>
      <c r="D631" s="12">
        <v>2</v>
      </c>
    </row>
    <row r="632" spans="1:4" ht="43.2" x14ac:dyDescent="0.3">
      <c r="A632" s="12" t="s">
        <v>30</v>
      </c>
      <c r="B632" s="12" t="s">
        <v>730</v>
      </c>
      <c r="C632" s="12">
        <v>1025</v>
      </c>
      <c r="D632" s="12">
        <v>10</v>
      </c>
    </row>
    <row r="633" spans="1:4" ht="43.2" x14ac:dyDescent="0.3">
      <c r="A633" s="12" t="s">
        <v>30</v>
      </c>
      <c r="B633" s="12" t="s">
        <v>731</v>
      </c>
      <c r="C633" s="12">
        <v>1379</v>
      </c>
      <c r="D633" s="12">
        <v>14</v>
      </c>
    </row>
    <row r="634" spans="1:4" ht="43.2" x14ac:dyDescent="0.3">
      <c r="A634" s="12" t="s">
        <v>31</v>
      </c>
      <c r="B634" s="12" t="s">
        <v>732</v>
      </c>
      <c r="C634" s="12">
        <v>48</v>
      </c>
      <c r="D634" s="12">
        <v>1</v>
      </c>
    </row>
    <row r="635" spans="1:4" ht="43.2" x14ac:dyDescent="0.3">
      <c r="A635" s="12" t="s">
        <v>31</v>
      </c>
      <c r="B635" s="12" t="s">
        <v>733</v>
      </c>
      <c r="C635" s="12">
        <v>48</v>
      </c>
      <c r="D635" s="12">
        <v>1</v>
      </c>
    </row>
    <row r="636" spans="1:4" ht="43.2" x14ac:dyDescent="0.3">
      <c r="A636" s="12" t="s">
        <v>31</v>
      </c>
      <c r="B636" s="12" t="s">
        <v>734</v>
      </c>
      <c r="C636" s="12">
        <v>144</v>
      </c>
      <c r="D636" s="12">
        <v>1</v>
      </c>
    </row>
    <row r="637" spans="1:4" ht="43.2" x14ac:dyDescent="0.3">
      <c r="A637" s="12" t="s">
        <v>31</v>
      </c>
      <c r="B637" s="12" t="s">
        <v>458</v>
      </c>
      <c r="C637" s="12">
        <v>542</v>
      </c>
      <c r="D637" s="12">
        <v>5</v>
      </c>
    </row>
    <row r="638" spans="1:4" ht="28.8" x14ac:dyDescent="0.3">
      <c r="A638" s="12" t="s">
        <v>31</v>
      </c>
      <c r="B638" s="12" t="s">
        <v>735</v>
      </c>
      <c r="C638" s="12">
        <v>33</v>
      </c>
      <c r="D638" s="12">
        <v>1</v>
      </c>
    </row>
    <row r="639" spans="1:4" ht="28.8" x14ac:dyDescent="0.3">
      <c r="A639" s="12" t="s">
        <v>31</v>
      </c>
      <c r="B639" s="12" t="s">
        <v>736</v>
      </c>
      <c r="C639" s="12">
        <v>216</v>
      </c>
      <c r="D639" s="12">
        <v>2</v>
      </c>
    </row>
    <row r="640" spans="1:4" ht="43.2" x14ac:dyDescent="0.3">
      <c r="A640" s="12" t="s">
        <v>31</v>
      </c>
      <c r="B640" s="12" t="s">
        <v>737</v>
      </c>
      <c r="C640" s="12">
        <v>135</v>
      </c>
      <c r="D640" s="12">
        <v>1</v>
      </c>
    </row>
    <row r="641" spans="1:4" ht="28.8" x14ac:dyDescent="0.3">
      <c r="A641" s="12" t="s">
        <v>31</v>
      </c>
      <c r="B641" s="12" t="s">
        <v>738</v>
      </c>
      <c r="C641" s="12">
        <v>719</v>
      </c>
      <c r="D641" s="12">
        <v>7</v>
      </c>
    </row>
    <row r="642" spans="1:4" ht="28.8" x14ac:dyDescent="0.3">
      <c r="A642" s="12" t="s">
        <v>31</v>
      </c>
      <c r="B642" s="12" t="s">
        <v>739</v>
      </c>
      <c r="C642" s="12">
        <v>719</v>
      </c>
      <c r="D642" s="12">
        <v>7</v>
      </c>
    </row>
    <row r="643" spans="1:4" ht="43.2" x14ac:dyDescent="0.3">
      <c r="A643" s="12" t="s">
        <v>31</v>
      </c>
      <c r="B643" s="12" t="s">
        <v>740</v>
      </c>
      <c r="C643" s="12">
        <v>366</v>
      </c>
      <c r="D643" s="12">
        <v>4</v>
      </c>
    </row>
    <row r="644" spans="1:4" ht="43.2" x14ac:dyDescent="0.3">
      <c r="A644" s="12" t="s">
        <v>31</v>
      </c>
      <c r="B644" s="12" t="s">
        <v>741</v>
      </c>
      <c r="C644" s="12">
        <v>186</v>
      </c>
      <c r="D644" s="12">
        <v>2</v>
      </c>
    </row>
    <row r="645" spans="1:4" x14ac:dyDescent="0.3">
      <c r="A645" s="12" t="s">
        <v>32</v>
      </c>
      <c r="B645" s="12" t="s">
        <v>742</v>
      </c>
      <c r="C645" s="12">
        <v>183</v>
      </c>
      <c r="D645" s="12">
        <v>2</v>
      </c>
    </row>
    <row r="646" spans="1:4" ht="28.8" x14ac:dyDescent="0.3">
      <c r="A646" s="12" t="s">
        <v>32</v>
      </c>
      <c r="B646" s="12" t="s">
        <v>743</v>
      </c>
      <c r="C646" s="12">
        <v>245</v>
      </c>
      <c r="D646" s="12">
        <v>2</v>
      </c>
    </row>
    <row r="647" spans="1:4" ht="43.2" x14ac:dyDescent="0.3">
      <c r="A647" s="12" t="s">
        <v>32</v>
      </c>
      <c r="B647" s="12" t="s">
        <v>744</v>
      </c>
      <c r="C647" s="12">
        <v>193</v>
      </c>
      <c r="D647" s="12">
        <v>2</v>
      </c>
    </row>
    <row r="648" spans="1:4" ht="43.2" x14ac:dyDescent="0.3">
      <c r="A648" s="12" t="s">
        <v>32</v>
      </c>
      <c r="B648" s="12" t="s">
        <v>745</v>
      </c>
      <c r="C648" s="12">
        <v>960</v>
      </c>
      <c r="D648" s="12">
        <v>10</v>
      </c>
    </row>
    <row r="649" spans="1:4" x14ac:dyDescent="0.3">
      <c r="A649" s="12" t="s">
        <v>32</v>
      </c>
      <c r="B649" s="12" t="s">
        <v>746</v>
      </c>
      <c r="C649" s="12">
        <v>186</v>
      </c>
      <c r="D649" s="12">
        <v>2</v>
      </c>
    </row>
    <row r="650" spans="1:4" ht="28.8" x14ac:dyDescent="0.3">
      <c r="A650" s="12" t="s">
        <v>32</v>
      </c>
      <c r="B650" s="12" t="s">
        <v>747</v>
      </c>
      <c r="C650" s="12">
        <v>15</v>
      </c>
      <c r="D650" s="12">
        <v>1</v>
      </c>
    </row>
    <row r="651" spans="1:4" x14ac:dyDescent="0.3">
      <c r="A651" s="12" t="s">
        <v>32</v>
      </c>
      <c r="B651" s="12" t="s">
        <v>748</v>
      </c>
      <c r="C651" s="12">
        <v>186</v>
      </c>
      <c r="D651" s="12">
        <v>2</v>
      </c>
    </row>
    <row r="652" spans="1:4" ht="43.2" x14ac:dyDescent="0.3">
      <c r="A652" s="12" t="s">
        <v>32</v>
      </c>
      <c r="B652" s="12" t="s">
        <v>749</v>
      </c>
      <c r="C652" s="12">
        <v>125</v>
      </c>
      <c r="D652" s="12">
        <v>1</v>
      </c>
    </row>
    <row r="653" spans="1:4" ht="43.2" x14ac:dyDescent="0.3">
      <c r="A653" s="12" t="s">
        <v>32</v>
      </c>
      <c r="B653" s="12" t="s">
        <v>750</v>
      </c>
      <c r="C653" s="12">
        <v>1502</v>
      </c>
      <c r="D653" s="12">
        <v>15</v>
      </c>
    </row>
    <row r="654" spans="1:4" ht="28.8" x14ac:dyDescent="0.3">
      <c r="A654" s="12" t="s">
        <v>32</v>
      </c>
      <c r="B654" s="12" t="s">
        <v>751</v>
      </c>
      <c r="C654" s="12">
        <v>765</v>
      </c>
      <c r="D654" s="12">
        <v>8</v>
      </c>
    </row>
    <row r="655" spans="1:4" ht="28.8" x14ac:dyDescent="0.3">
      <c r="A655" s="12" t="s">
        <v>32</v>
      </c>
      <c r="B655" s="12" t="s">
        <v>752</v>
      </c>
      <c r="C655" s="12">
        <v>105</v>
      </c>
      <c r="D655" s="12">
        <v>1</v>
      </c>
    </row>
    <row r="656" spans="1:4" ht="28.8" x14ac:dyDescent="0.3">
      <c r="A656" s="12" t="s">
        <v>32</v>
      </c>
      <c r="B656" s="12" t="s">
        <v>753</v>
      </c>
      <c r="C656" s="12">
        <v>1478</v>
      </c>
      <c r="D656" s="12">
        <v>15</v>
      </c>
    </row>
    <row r="657" spans="1:4" ht="28.8" x14ac:dyDescent="0.3">
      <c r="A657" s="12" t="s">
        <v>32</v>
      </c>
      <c r="B657" s="12" t="s">
        <v>754</v>
      </c>
      <c r="C657" s="12">
        <v>860</v>
      </c>
      <c r="D657" s="12">
        <v>9</v>
      </c>
    </row>
    <row r="658" spans="1:4" ht="57.6" x14ac:dyDescent="0.3">
      <c r="A658" s="12" t="s">
        <v>32</v>
      </c>
      <c r="B658" s="12" t="s">
        <v>755</v>
      </c>
      <c r="C658" s="12">
        <v>1071</v>
      </c>
      <c r="D658" s="12">
        <v>11</v>
      </c>
    </row>
    <row r="659" spans="1:4" ht="43.2" x14ac:dyDescent="0.3">
      <c r="A659" s="12" t="s">
        <v>32</v>
      </c>
      <c r="B659" s="12" t="s">
        <v>756</v>
      </c>
      <c r="C659" s="12">
        <v>19</v>
      </c>
      <c r="D659" s="12">
        <v>1</v>
      </c>
    </row>
    <row r="660" spans="1:4" ht="43.2" x14ac:dyDescent="0.3">
      <c r="A660" s="12" t="s">
        <v>32</v>
      </c>
      <c r="B660" s="12" t="s">
        <v>757</v>
      </c>
      <c r="C660" s="12">
        <v>193</v>
      </c>
      <c r="D660" s="12">
        <v>2</v>
      </c>
    </row>
    <row r="661" spans="1:4" ht="57.6" x14ac:dyDescent="0.3">
      <c r="A661" s="12" t="s">
        <v>33</v>
      </c>
      <c r="B661" s="12" t="s">
        <v>758</v>
      </c>
      <c r="C661" s="12">
        <v>898</v>
      </c>
      <c r="D661" s="12">
        <v>9</v>
      </c>
    </row>
    <row r="662" spans="1:4" ht="57.6" x14ac:dyDescent="0.3">
      <c r="A662" s="12" t="s">
        <v>33</v>
      </c>
      <c r="B662" s="12" t="s">
        <v>759</v>
      </c>
      <c r="C662" s="12">
        <v>495</v>
      </c>
      <c r="D662" s="12">
        <v>5</v>
      </c>
    </row>
    <row r="663" spans="1:4" ht="43.2" x14ac:dyDescent="0.3">
      <c r="A663" s="12" t="s">
        <v>33</v>
      </c>
      <c r="B663" s="12" t="s">
        <v>760</v>
      </c>
      <c r="C663" s="12">
        <v>1146</v>
      </c>
      <c r="D663" s="12">
        <v>11</v>
      </c>
    </row>
    <row r="664" spans="1:4" ht="28.8" x14ac:dyDescent="0.3">
      <c r="A664" s="12" t="s">
        <v>33</v>
      </c>
      <c r="B664" s="12" t="s">
        <v>761</v>
      </c>
      <c r="C664" s="12">
        <v>416</v>
      </c>
      <c r="D664" s="12">
        <v>4</v>
      </c>
    </row>
    <row r="665" spans="1:4" ht="43.2" x14ac:dyDescent="0.3">
      <c r="A665" s="12" t="s">
        <v>33</v>
      </c>
      <c r="B665" s="12" t="s">
        <v>762</v>
      </c>
      <c r="C665" s="12">
        <v>221</v>
      </c>
      <c r="D665" s="12">
        <v>2</v>
      </c>
    </row>
    <row r="666" spans="1:4" ht="57.6" x14ac:dyDescent="0.3">
      <c r="A666" s="12" t="s">
        <v>33</v>
      </c>
      <c r="B666" s="12" t="s">
        <v>763</v>
      </c>
      <c r="C666" s="12">
        <v>468</v>
      </c>
      <c r="D666" s="12">
        <v>5</v>
      </c>
    </row>
    <row r="667" spans="1:4" ht="43.2" x14ac:dyDescent="0.3">
      <c r="A667" s="12" t="s">
        <v>33</v>
      </c>
      <c r="B667" s="12" t="s">
        <v>764</v>
      </c>
      <c r="C667" s="12">
        <v>119</v>
      </c>
      <c r="D667" s="12">
        <v>1</v>
      </c>
    </row>
    <row r="668" spans="1:4" ht="43.2" x14ac:dyDescent="0.3">
      <c r="A668" s="12" t="s">
        <v>33</v>
      </c>
      <c r="B668" s="12" t="s">
        <v>765</v>
      </c>
      <c r="C668" s="12">
        <v>946</v>
      </c>
      <c r="D668" s="12">
        <v>9</v>
      </c>
    </row>
    <row r="669" spans="1:4" ht="43.2" x14ac:dyDescent="0.3">
      <c r="A669" s="12" t="s">
        <v>33</v>
      </c>
      <c r="B669" s="12" t="s">
        <v>766</v>
      </c>
      <c r="C669" s="12">
        <v>518</v>
      </c>
      <c r="D669" s="12">
        <v>5</v>
      </c>
    </row>
    <row r="670" spans="1:4" ht="43.2" x14ac:dyDescent="0.3">
      <c r="A670" s="12" t="s">
        <v>33</v>
      </c>
      <c r="B670" s="12" t="s">
        <v>767</v>
      </c>
      <c r="C670" s="12">
        <v>221</v>
      </c>
      <c r="D670" s="12">
        <v>2</v>
      </c>
    </row>
    <row r="671" spans="1:4" ht="28.8" x14ac:dyDescent="0.3">
      <c r="A671" s="12" t="s">
        <v>33</v>
      </c>
      <c r="B671" s="12" t="s">
        <v>768</v>
      </c>
      <c r="C671" s="12">
        <v>496</v>
      </c>
      <c r="D671" s="12">
        <v>5</v>
      </c>
    </row>
    <row r="672" spans="1:4" ht="43.2" x14ac:dyDescent="0.3">
      <c r="A672" s="12" t="s">
        <v>33</v>
      </c>
      <c r="B672" s="12" t="s">
        <v>769</v>
      </c>
      <c r="C672" s="12">
        <v>458</v>
      </c>
      <c r="D672" s="12">
        <v>5</v>
      </c>
    </row>
    <row r="673" spans="1:4" ht="57.6" x14ac:dyDescent="0.3">
      <c r="A673" s="12" t="s">
        <v>33</v>
      </c>
      <c r="B673" s="12" t="s">
        <v>770</v>
      </c>
      <c r="C673" s="12">
        <v>279</v>
      </c>
      <c r="D673" s="12">
        <v>3</v>
      </c>
    </row>
    <row r="674" spans="1:4" ht="43.2" x14ac:dyDescent="0.3">
      <c r="A674" s="12" t="s">
        <v>33</v>
      </c>
      <c r="B674" s="12" t="s">
        <v>771</v>
      </c>
      <c r="C674" s="12">
        <v>389</v>
      </c>
      <c r="D674" s="12">
        <v>4</v>
      </c>
    </row>
    <row r="675" spans="1:4" ht="43.2" x14ac:dyDescent="0.3">
      <c r="A675" s="12" t="s">
        <v>33</v>
      </c>
      <c r="B675" s="12" t="s">
        <v>772</v>
      </c>
      <c r="C675" s="12">
        <v>148</v>
      </c>
      <c r="D675" s="12">
        <v>1</v>
      </c>
    </row>
    <row r="676" spans="1:4" ht="43.2" x14ac:dyDescent="0.3">
      <c r="A676" s="12" t="s">
        <v>33</v>
      </c>
      <c r="B676" s="12" t="s">
        <v>773</v>
      </c>
      <c r="C676" s="12">
        <v>244</v>
      </c>
      <c r="D676" s="12">
        <v>2</v>
      </c>
    </row>
    <row r="677" spans="1:4" ht="43.2" x14ac:dyDescent="0.3">
      <c r="A677" s="12" t="s">
        <v>33</v>
      </c>
      <c r="B677" s="12" t="s">
        <v>774</v>
      </c>
      <c r="C677" s="12">
        <v>232</v>
      </c>
      <c r="D677" s="12">
        <v>2</v>
      </c>
    </row>
    <row r="678" spans="1:4" ht="43.2" x14ac:dyDescent="0.3">
      <c r="A678" s="12" t="s">
        <v>33</v>
      </c>
      <c r="B678" s="12" t="s">
        <v>775</v>
      </c>
      <c r="C678" s="12">
        <v>533</v>
      </c>
      <c r="D678" s="12">
        <v>5</v>
      </c>
    </row>
    <row r="679" spans="1:4" ht="43.2" x14ac:dyDescent="0.3">
      <c r="A679" s="12" t="s">
        <v>33</v>
      </c>
      <c r="B679" s="12" t="s">
        <v>776</v>
      </c>
      <c r="C679" s="12">
        <v>212</v>
      </c>
      <c r="D679" s="12">
        <v>2</v>
      </c>
    </row>
    <row r="680" spans="1:4" ht="43.2" x14ac:dyDescent="0.3">
      <c r="A680" s="12" t="s">
        <v>33</v>
      </c>
      <c r="B680" s="12" t="s">
        <v>777</v>
      </c>
      <c r="C680" s="12">
        <v>847</v>
      </c>
      <c r="D680" s="12">
        <v>8</v>
      </c>
    </row>
    <row r="681" spans="1:4" ht="43.2" x14ac:dyDescent="0.3">
      <c r="A681" s="12" t="s">
        <v>33</v>
      </c>
      <c r="B681" s="12" t="s">
        <v>778</v>
      </c>
      <c r="C681" s="12">
        <v>708</v>
      </c>
      <c r="D681" s="12">
        <v>7</v>
      </c>
    </row>
    <row r="682" spans="1:4" ht="43.2" x14ac:dyDescent="0.3">
      <c r="A682" s="12" t="s">
        <v>33</v>
      </c>
      <c r="B682" s="12" t="s">
        <v>779</v>
      </c>
      <c r="C682" s="12">
        <v>458</v>
      </c>
      <c r="D682" s="12">
        <v>5</v>
      </c>
    </row>
    <row r="683" spans="1:4" ht="72" x14ac:dyDescent="0.3">
      <c r="A683" s="12" t="s">
        <v>33</v>
      </c>
      <c r="B683" s="12" t="s">
        <v>780</v>
      </c>
      <c r="C683" s="12">
        <v>402</v>
      </c>
      <c r="D683" s="12">
        <v>4</v>
      </c>
    </row>
    <row r="684" spans="1:4" ht="43.2" x14ac:dyDescent="0.3">
      <c r="A684" s="12" t="s">
        <v>33</v>
      </c>
      <c r="B684" s="12" t="s">
        <v>781</v>
      </c>
      <c r="C684" s="12">
        <v>490</v>
      </c>
      <c r="D684" s="12">
        <v>5</v>
      </c>
    </row>
    <row r="685" spans="1:4" ht="43.2" x14ac:dyDescent="0.3">
      <c r="A685" s="12" t="s">
        <v>33</v>
      </c>
      <c r="B685" s="12" t="s">
        <v>782</v>
      </c>
      <c r="C685" s="12">
        <v>396</v>
      </c>
      <c r="D685" s="12">
        <v>4</v>
      </c>
    </row>
    <row r="686" spans="1:4" ht="28.8" x14ac:dyDescent="0.3">
      <c r="A686" s="12" t="s">
        <v>33</v>
      </c>
      <c r="B686" s="12" t="s">
        <v>783</v>
      </c>
      <c r="C686" s="12">
        <v>723</v>
      </c>
      <c r="D686" s="12">
        <v>7</v>
      </c>
    </row>
    <row r="687" spans="1:4" ht="43.2" x14ac:dyDescent="0.3">
      <c r="A687" s="12" t="s">
        <v>33</v>
      </c>
      <c r="B687" s="12" t="s">
        <v>784</v>
      </c>
      <c r="C687" s="12">
        <v>155</v>
      </c>
      <c r="D687" s="12">
        <v>2</v>
      </c>
    </row>
    <row r="688" spans="1:4" ht="43.2" x14ac:dyDescent="0.3">
      <c r="A688" s="12" t="s">
        <v>33</v>
      </c>
      <c r="B688" s="12" t="s">
        <v>785</v>
      </c>
      <c r="C688" s="12">
        <v>138</v>
      </c>
      <c r="D688" s="12">
        <v>1</v>
      </c>
    </row>
    <row r="689" spans="1:4" ht="43.2" x14ac:dyDescent="0.3">
      <c r="A689" s="12" t="s">
        <v>33</v>
      </c>
      <c r="B689" s="12" t="s">
        <v>786</v>
      </c>
      <c r="C689" s="12">
        <v>564</v>
      </c>
      <c r="D689" s="12">
        <v>6</v>
      </c>
    </row>
    <row r="690" spans="1:4" ht="57.6" x14ac:dyDescent="0.3">
      <c r="A690" s="12" t="s">
        <v>33</v>
      </c>
      <c r="B690" s="12" t="s">
        <v>787</v>
      </c>
      <c r="C690" s="12">
        <v>1072</v>
      </c>
      <c r="D690" s="12">
        <v>11</v>
      </c>
    </row>
    <row r="691" spans="1:4" ht="57.6" x14ac:dyDescent="0.3">
      <c r="A691" s="12" t="s">
        <v>33</v>
      </c>
      <c r="B691" s="12" t="s">
        <v>788</v>
      </c>
      <c r="C691" s="12">
        <v>446</v>
      </c>
      <c r="D691" s="12">
        <v>4</v>
      </c>
    </row>
    <row r="692" spans="1:4" ht="57.6" x14ac:dyDescent="0.3">
      <c r="A692" s="12" t="s">
        <v>33</v>
      </c>
      <c r="B692" s="12" t="s">
        <v>789</v>
      </c>
      <c r="C692" s="12">
        <v>626</v>
      </c>
      <c r="D692" s="12">
        <v>6</v>
      </c>
    </row>
    <row r="693" spans="1:4" ht="57.6" x14ac:dyDescent="0.3">
      <c r="A693" s="12" t="s">
        <v>33</v>
      </c>
      <c r="B693" s="12" t="s">
        <v>790</v>
      </c>
      <c r="C693" s="12">
        <v>719</v>
      </c>
      <c r="D693" s="12">
        <v>7</v>
      </c>
    </row>
    <row r="694" spans="1:4" ht="57.6" x14ac:dyDescent="0.3">
      <c r="A694" s="12" t="s">
        <v>33</v>
      </c>
      <c r="B694" s="12" t="s">
        <v>791</v>
      </c>
      <c r="C694" s="12">
        <v>468</v>
      </c>
      <c r="D694" s="12">
        <v>5</v>
      </c>
    </row>
    <row r="695" spans="1:4" ht="57.6" x14ac:dyDescent="0.3">
      <c r="A695" s="12" t="s">
        <v>33</v>
      </c>
      <c r="B695" s="12" t="s">
        <v>792</v>
      </c>
      <c r="C695" s="12">
        <v>582</v>
      </c>
      <c r="D695" s="12">
        <v>6</v>
      </c>
    </row>
    <row r="696" spans="1:4" ht="57.6" x14ac:dyDescent="0.3">
      <c r="A696" s="12" t="s">
        <v>33</v>
      </c>
      <c r="B696" s="12" t="s">
        <v>793</v>
      </c>
      <c r="C696" s="12">
        <v>362</v>
      </c>
      <c r="D696" s="12">
        <v>4</v>
      </c>
    </row>
    <row r="697" spans="1:4" ht="57.6" x14ac:dyDescent="0.3">
      <c r="A697" s="12" t="s">
        <v>33</v>
      </c>
      <c r="B697" s="12" t="s">
        <v>794</v>
      </c>
      <c r="C697" s="12">
        <v>424</v>
      </c>
      <c r="D697" s="12">
        <v>4</v>
      </c>
    </row>
    <row r="698" spans="1:4" ht="57.6" x14ac:dyDescent="0.3">
      <c r="A698" s="12" t="s">
        <v>33</v>
      </c>
      <c r="B698" s="12" t="s">
        <v>795</v>
      </c>
      <c r="C698" s="12">
        <v>607</v>
      </c>
      <c r="D698" s="12">
        <v>6</v>
      </c>
    </row>
    <row r="699" spans="1:4" ht="28.8" x14ac:dyDescent="0.3">
      <c r="A699" s="12" t="s">
        <v>33</v>
      </c>
      <c r="B699" s="12" t="s">
        <v>796</v>
      </c>
      <c r="C699" s="12">
        <v>523</v>
      </c>
      <c r="D699" s="12">
        <v>5</v>
      </c>
    </row>
    <row r="700" spans="1:4" ht="43.2" x14ac:dyDescent="0.3">
      <c r="A700" s="12" t="s">
        <v>33</v>
      </c>
      <c r="B700" s="12" t="s">
        <v>797</v>
      </c>
      <c r="C700" s="12">
        <v>772</v>
      </c>
      <c r="D700" s="12">
        <v>8</v>
      </c>
    </row>
    <row r="701" spans="1:4" ht="43.2" x14ac:dyDescent="0.3">
      <c r="A701" s="12" t="s">
        <v>33</v>
      </c>
      <c r="B701" s="12" t="s">
        <v>798</v>
      </c>
      <c r="C701" s="12">
        <v>427</v>
      </c>
      <c r="D701" s="12">
        <v>4</v>
      </c>
    </row>
    <row r="702" spans="1:4" ht="57.6" x14ac:dyDescent="0.3">
      <c r="A702" s="12" t="s">
        <v>33</v>
      </c>
      <c r="B702" s="12" t="s">
        <v>799</v>
      </c>
      <c r="C702" s="12">
        <v>567</v>
      </c>
      <c r="D702" s="12">
        <v>6</v>
      </c>
    </row>
    <row r="703" spans="1:4" ht="43.2" x14ac:dyDescent="0.3">
      <c r="A703" s="12" t="s">
        <v>33</v>
      </c>
      <c r="B703" s="12" t="s">
        <v>800</v>
      </c>
      <c r="C703" s="12">
        <v>1030</v>
      </c>
      <c r="D703" s="12">
        <v>10</v>
      </c>
    </row>
    <row r="704" spans="1:4" ht="43.2" x14ac:dyDescent="0.3">
      <c r="A704" s="12" t="s">
        <v>34</v>
      </c>
      <c r="B704" s="12" t="s">
        <v>801</v>
      </c>
      <c r="C704" s="12">
        <v>388</v>
      </c>
      <c r="D704" s="12">
        <v>4</v>
      </c>
    </row>
    <row r="705" spans="1:4" ht="43.2" x14ac:dyDescent="0.3">
      <c r="A705" s="12" t="s">
        <v>34</v>
      </c>
      <c r="B705" s="12" t="s">
        <v>802</v>
      </c>
      <c r="C705" s="12">
        <v>359</v>
      </c>
      <c r="D705" s="12">
        <v>4</v>
      </c>
    </row>
    <row r="706" spans="1:4" ht="43.2" x14ac:dyDescent="0.3">
      <c r="A706" s="12" t="s">
        <v>34</v>
      </c>
      <c r="B706" s="12" t="s">
        <v>803</v>
      </c>
      <c r="C706" s="12">
        <v>561</v>
      </c>
      <c r="D706" s="12">
        <v>6</v>
      </c>
    </row>
    <row r="707" spans="1:4" ht="43.2" x14ac:dyDescent="0.3">
      <c r="A707" s="12" t="s">
        <v>34</v>
      </c>
      <c r="B707" s="12" t="s">
        <v>804</v>
      </c>
      <c r="C707" s="12">
        <v>476</v>
      </c>
      <c r="D707" s="12">
        <v>5</v>
      </c>
    </row>
    <row r="708" spans="1:4" ht="28.8" x14ac:dyDescent="0.3">
      <c r="A708" s="12" t="s">
        <v>34</v>
      </c>
      <c r="B708" s="12" t="s">
        <v>805</v>
      </c>
      <c r="C708" s="12">
        <v>351</v>
      </c>
      <c r="D708" s="12">
        <v>4</v>
      </c>
    </row>
    <row r="709" spans="1:4" ht="43.2" x14ac:dyDescent="0.3">
      <c r="A709" s="12" t="s">
        <v>34</v>
      </c>
      <c r="B709" s="12" t="s">
        <v>806</v>
      </c>
      <c r="C709" s="12">
        <v>790</v>
      </c>
      <c r="D709" s="12">
        <v>8</v>
      </c>
    </row>
    <row r="710" spans="1:4" ht="43.2" x14ac:dyDescent="0.3">
      <c r="A710" s="12" t="s">
        <v>34</v>
      </c>
      <c r="B710" s="12" t="s">
        <v>807</v>
      </c>
      <c r="C710" s="12">
        <v>347</v>
      </c>
      <c r="D710" s="12">
        <v>3</v>
      </c>
    </row>
    <row r="711" spans="1:4" ht="43.2" x14ac:dyDescent="0.3">
      <c r="A711" s="12" t="s">
        <v>34</v>
      </c>
      <c r="B711" s="12" t="s">
        <v>808</v>
      </c>
      <c r="C711" s="12">
        <v>211</v>
      </c>
      <c r="D711" s="12">
        <v>2</v>
      </c>
    </row>
    <row r="712" spans="1:4" ht="43.2" x14ac:dyDescent="0.3">
      <c r="A712" s="12" t="s">
        <v>34</v>
      </c>
      <c r="B712" s="12" t="s">
        <v>809</v>
      </c>
      <c r="C712" s="12">
        <v>660</v>
      </c>
      <c r="D712" s="12">
        <v>7</v>
      </c>
    </row>
    <row r="713" spans="1:4" ht="43.2" x14ac:dyDescent="0.3">
      <c r="A713" s="12" t="s">
        <v>34</v>
      </c>
      <c r="B713" s="12" t="s">
        <v>810</v>
      </c>
      <c r="C713" s="12">
        <v>452</v>
      </c>
      <c r="D713" s="12">
        <v>5</v>
      </c>
    </row>
    <row r="714" spans="1:4" ht="28.8" x14ac:dyDescent="0.3">
      <c r="A714" s="12" t="s">
        <v>34</v>
      </c>
      <c r="B714" s="12" t="s">
        <v>811</v>
      </c>
      <c r="C714" s="12">
        <v>817</v>
      </c>
      <c r="D714" s="12">
        <v>8</v>
      </c>
    </row>
    <row r="715" spans="1:4" ht="43.2" x14ac:dyDescent="0.3">
      <c r="A715" s="12" t="s">
        <v>34</v>
      </c>
      <c r="B715" s="12" t="s">
        <v>812</v>
      </c>
      <c r="C715" s="12">
        <v>195</v>
      </c>
      <c r="D715" s="12">
        <v>2</v>
      </c>
    </row>
    <row r="716" spans="1:4" ht="43.2" x14ac:dyDescent="0.3">
      <c r="A716" s="12" t="s">
        <v>34</v>
      </c>
      <c r="B716" s="12" t="s">
        <v>813</v>
      </c>
      <c r="C716" s="12">
        <v>578</v>
      </c>
      <c r="D716" s="12">
        <v>6</v>
      </c>
    </row>
    <row r="717" spans="1:4" ht="43.2" x14ac:dyDescent="0.3">
      <c r="A717" s="12" t="s">
        <v>34</v>
      </c>
      <c r="B717" s="12" t="s">
        <v>814</v>
      </c>
      <c r="C717" s="12">
        <v>253</v>
      </c>
      <c r="D717" s="12">
        <v>3</v>
      </c>
    </row>
    <row r="718" spans="1:4" ht="43.2" x14ac:dyDescent="0.3">
      <c r="A718" s="12" t="s">
        <v>35</v>
      </c>
      <c r="B718" s="12" t="s">
        <v>815</v>
      </c>
      <c r="C718" s="12">
        <v>168</v>
      </c>
      <c r="D718" s="12">
        <v>2</v>
      </c>
    </row>
    <row r="719" spans="1:4" ht="43.2" x14ac:dyDescent="0.3">
      <c r="A719" s="12" t="s">
        <v>35</v>
      </c>
      <c r="B719" s="12" t="s">
        <v>816</v>
      </c>
      <c r="C719" s="12">
        <v>402</v>
      </c>
      <c r="D719" s="12">
        <v>4</v>
      </c>
    </row>
    <row r="720" spans="1:4" ht="28.8" x14ac:dyDescent="0.3">
      <c r="A720" s="12" t="s">
        <v>35</v>
      </c>
      <c r="B720" s="12" t="s">
        <v>817</v>
      </c>
      <c r="C720" s="12">
        <v>157</v>
      </c>
      <c r="D720" s="12">
        <v>2</v>
      </c>
    </row>
    <row r="721" spans="1:4" ht="28.8" x14ac:dyDescent="0.3">
      <c r="A721" s="12" t="s">
        <v>35</v>
      </c>
      <c r="B721" s="12" t="s">
        <v>818</v>
      </c>
      <c r="C721" s="12">
        <v>64</v>
      </c>
      <c r="D721" s="12">
        <v>1</v>
      </c>
    </row>
    <row r="722" spans="1:4" ht="28.8" x14ac:dyDescent="0.3">
      <c r="A722" s="12" t="s">
        <v>35</v>
      </c>
      <c r="B722" s="12" t="s">
        <v>819</v>
      </c>
      <c r="C722" s="12">
        <v>563</v>
      </c>
      <c r="D722" s="12">
        <v>6</v>
      </c>
    </row>
    <row r="723" spans="1:4" ht="43.2" x14ac:dyDescent="0.3">
      <c r="A723" s="12" t="s">
        <v>35</v>
      </c>
      <c r="B723" s="12" t="s">
        <v>820</v>
      </c>
      <c r="C723" s="12">
        <v>168</v>
      </c>
      <c r="D723" s="12">
        <v>2</v>
      </c>
    </row>
    <row r="724" spans="1:4" ht="43.2" x14ac:dyDescent="0.3">
      <c r="A724" s="12" t="s">
        <v>35</v>
      </c>
      <c r="B724" s="12" t="s">
        <v>245</v>
      </c>
      <c r="C724" s="12">
        <v>149</v>
      </c>
      <c r="D724" s="12">
        <v>1</v>
      </c>
    </row>
    <row r="725" spans="1:4" x14ac:dyDescent="0.3">
      <c r="A725" s="12" t="s">
        <v>35</v>
      </c>
      <c r="B725" s="12" t="s">
        <v>821</v>
      </c>
      <c r="C725" s="12">
        <v>443</v>
      </c>
      <c r="D725" s="12">
        <v>4</v>
      </c>
    </row>
    <row r="726" spans="1:4" ht="28.8" x14ac:dyDescent="0.3">
      <c r="A726" s="12" t="s">
        <v>35</v>
      </c>
      <c r="B726" s="12" t="s">
        <v>822</v>
      </c>
      <c r="C726" s="12">
        <v>106</v>
      </c>
      <c r="D726" s="12">
        <v>1</v>
      </c>
    </row>
    <row r="727" spans="1:4" ht="43.2" x14ac:dyDescent="0.3">
      <c r="A727" s="12" t="s">
        <v>35</v>
      </c>
      <c r="B727" s="12" t="s">
        <v>823</v>
      </c>
      <c r="C727" s="12">
        <v>299</v>
      </c>
      <c r="D727" s="12">
        <v>3</v>
      </c>
    </row>
    <row r="728" spans="1:4" ht="43.2" x14ac:dyDescent="0.3">
      <c r="A728" s="12" t="s">
        <v>35</v>
      </c>
      <c r="B728" s="12" t="s">
        <v>824</v>
      </c>
      <c r="C728" s="12">
        <v>1042</v>
      </c>
      <c r="D728" s="12">
        <v>10</v>
      </c>
    </row>
    <row r="729" spans="1:4" ht="28.8" x14ac:dyDescent="0.3">
      <c r="A729" s="12" t="s">
        <v>35</v>
      </c>
      <c r="B729" s="12" t="s">
        <v>825</v>
      </c>
      <c r="C729" s="12">
        <v>63</v>
      </c>
      <c r="D729" s="12">
        <v>1</v>
      </c>
    </row>
    <row r="730" spans="1:4" ht="43.2" x14ac:dyDescent="0.3">
      <c r="A730" s="12" t="s">
        <v>35</v>
      </c>
      <c r="B730" s="12" t="s">
        <v>826</v>
      </c>
      <c r="C730" s="12">
        <v>501</v>
      </c>
      <c r="D730" s="12">
        <v>5</v>
      </c>
    </row>
    <row r="731" spans="1:4" ht="43.2" x14ac:dyDescent="0.3">
      <c r="A731" s="12" t="s">
        <v>35</v>
      </c>
      <c r="B731" s="12" t="s">
        <v>827</v>
      </c>
      <c r="C731" s="12">
        <v>299</v>
      </c>
      <c r="D731" s="12">
        <v>3</v>
      </c>
    </row>
    <row r="732" spans="1:4" ht="28.8" x14ac:dyDescent="0.3">
      <c r="A732" s="12" t="s">
        <v>35</v>
      </c>
      <c r="B732" s="12" t="s">
        <v>828</v>
      </c>
      <c r="C732" s="12">
        <v>560</v>
      </c>
      <c r="D732" s="12">
        <v>6</v>
      </c>
    </row>
    <row r="733" spans="1:4" ht="43.2" x14ac:dyDescent="0.3">
      <c r="A733" s="12" t="s">
        <v>35</v>
      </c>
      <c r="B733" s="12" t="s">
        <v>829</v>
      </c>
      <c r="C733" s="12">
        <v>167</v>
      </c>
      <c r="D733" s="12">
        <v>2</v>
      </c>
    </row>
    <row r="734" spans="1:4" ht="28.8" x14ac:dyDescent="0.3">
      <c r="A734" s="12" t="s">
        <v>35</v>
      </c>
      <c r="B734" s="12" t="s">
        <v>830</v>
      </c>
      <c r="C734" s="12">
        <v>1474</v>
      </c>
      <c r="D734" s="12">
        <v>15</v>
      </c>
    </row>
    <row r="735" spans="1:4" ht="28.8" x14ac:dyDescent="0.3">
      <c r="A735" s="12" t="s">
        <v>35</v>
      </c>
      <c r="B735" s="12" t="s">
        <v>831</v>
      </c>
      <c r="C735" s="12">
        <v>1323</v>
      </c>
      <c r="D735" s="12">
        <v>13</v>
      </c>
    </row>
    <row r="736" spans="1:4" ht="43.2" x14ac:dyDescent="0.3">
      <c r="A736" s="12" t="s">
        <v>35</v>
      </c>
      <c r="B736" s="12" t="s">
        <v>832</v>
      </c>
      <c r="C736" s="12">
        <v>232</v>
      </c>
      <c r="D736" s="12">
        <v>2</v>
      </c>
    </row>
    <row r="737" spans="1:4" x14ac:dyDescent="0.3">
      <c r="A737" s="12" t="s">
        <v>36</v>
      </c>
      <c r="B737" s="12" t="s">
        <v>833</v>
      </c>
      <c r="C737" s="12">
        <v>854</v>
      </c>
      <c r="D737" s="12">
        <v>9</v>
      </c>
    </row>
    <row r="738" spans="1:4" x14ac:dyDescent="0.3">
      <c r="A738" s="12" t="s">
        <v>36</v>
      </c>
      <c r="B738" s="12" t="s">
        <v>834</v>
      </c>
      <c r="C738" s="12">
        <v>2139</v>
      </c>
      <c r="D738" s="12">
        <v>21</v>
      </c>
    </row>
    <row r="739" spans="1:4" x14ac:dyDescent="0.3">
      <c r="A739" s="12" t="s">
        <v>36</v>
      </c>
      <c r="B739" s="12" t="s">
        <v>835</v>
      </c>
      <c r="C739" s="12">
        <v>1756</v>
      </c>
      <c r="D739" s="12">
        <v>18</v>
      </c>
    </row>
    <row r="740" spans="1:4" x14ac:dyDescent="0.3">
      <c r="A740" s="12" t="s">
        <v>36</v>
      </c>
      <c r="B740" s="12" t="s">
        <v>836</v>
      </c>
      <c r="C740" s="12">
        <v>1155</v>
      </c>
      <c r="D740" s="12">
        <v>12</v>
      </c>
    </row>
    <row r="741" spans="1:4" x14ac:dyDescent="0.3">
      <c r="A741" s="12" t="s">
        <v>36</v>
      </c>
      <c r="B741" s="12" t="s">
        <v>837</v>
      </c>
      <c r="C741" s="12">
        <v>3196</v>
      </c>
      <c r="D741" s="12">
        <v>32</v>
      </c>
    </row>
    <row r="742" spans="1:4" x14ac:dyDescent="0.3">
      <c r="A742" s="12" t="s">
        <v>36</v>
      </c>
      <c r="B742" s="12" t="s">
        <v>838</v>
      </c>
      <c r="C742" s="12">
        <v>1425</v>
      </c>
      <c r="D742" s="12">
        <v>14</v>
      </c>
    </row>
    <row r="743" spans="1:4" x14ac:dyDescent="0.3">
      <c r="A743" s="12" t="s">
        <v>36</v>
      </c>
      <c r="B743" s="12" t="s">
        <v>839</v>
      </c>
      <c r="C743" s="12">
        <v>1632</v>
      </c>
      <c r="D743" s="12">
        <v>16</v>
      </c>
    </row>
    <row r="744" spans="1:4" x14ac:dyDescent="0.3">
      <c r="A744" s="12" t="s">
        <v>36</v>
      </c>
      <c r="B744" s="12" t="s">
        <v>840</v>
      </c>
      <c r="C744" s="12">
        <v>1675</v>
      </c>
      <c r="D744" s="12">
        <v>17</v>
      </c>
    </row>
    <row r="745" spans="1:4" x14ac:dyDescent="0.3">
      <c r="A745" s="12" t="s">
        <v>36</v>
      </c>
      <c r="B745" s="12" t="s">
        <v>841</v>
      </c>
      <c r="C745" s="12">
        <v>1881</v>
      </c>
      <c r="D745" s="12">
        <v>19</v>
      </c>
    </row>
    <row r="746" spans="1:4" x14ac:dyDescent="0.3">
      <c r="A746" s="12" t="s">
        <v>36</v>
      </c>
      <c r="B746" s="12" t="s">
        <v>842</v>
      </c>
      <c r="C746" s="12">
        <v>851</v>
      </c>
      <c r="D746" s="12">
        <v>9</v>
      </c>
    </row>
    <row r="747" spans="1:4" x14ac:dyDescent="0.3">
      <c r="A747" s="12" t="s">
        <v>36</v>
      </c>
      <c r="B747" s="12" t="s">
        <v>843</v>
      </c>
      <c r="C747" s="12">
        <v>456</v>
      </c>
      <c r="D747" s="12">
        <v>5</v>
      </c>
    </row>
    <row r="748" spans="1:4" x14ac:dyDescent="0.3">
      <c r="A748" s="12" t="s">
        <v>36</v>
      </c>
      <c r="B748" s="12" t="s">
        <v>844</v>
      </c>
      <c r="C748" s="12">
        <v>756</v>
      </c>
      <c r="D748" s="12">
        <v>8</v>
      </c>
    </row>
    <row r="749" spans="1:4" x14ac:dyDescent="0.3">
      <c r="A749" s="12" t="s">
        <v>36</v>
      </c>
      <c r="B749" s="12" t="s">
        <v>845</v>
      </c>
      <c r="C749" s="12">
        <v>1324</v>
      </c>
      <c r="D749" s="12">
        <v>13</v>
      </c>
    </row>
    <row r="750" spans="1:4" x14ac:dyDescent="0.3">
      <c r="A750" s="12" t="s">
        <v>36</v>
      </c>
      <c r="B750" s="12" t="s">
        <v>846</v>
      </c>
      <c r="C750" s="12">
        <v>862</v>
      </c>
      <c r="D750" s="12">
        <v>9</v>
      </c>
    </row>
    <row r="751" spans="1:4" x14ac:dyDescent="0.3">
      <c r="A751" s="12" t="s">
        <v>36</v>
      </c>
      <c r="B751" s="12" t="s">
        <v>847</v>
      </c>
      <c r="C751" s="12">
        <v>1400</v>
      </c>
      <c r="D751" s="12">
        <v>14</v>
      </c>
    </row>
    <row r="752" spans="1:4" x14ac:dyDescent="0.3">
      <c r="A752" s="12" t="s">
        <v>36</v>
      </c>
      <c r="B752" s="12" t="s">
        <v>848</v>
      </c>
      <c r="C752" s="12">
        <v>1792</v>
      </c>
      <c r="D752" s="12">
        <v>18</v>
      </c>
    </row>
    <row r="753" spans="1:4" x14ac:dyDescent="0.3">
      <c r="A753" s="12" t="s">
        <v>36</v>
      </c>
      <c r="B753" s="12" t="s">
        <v>849</v>
      </c>
      <c r="C753" s="12">
        <v>1364</v>
      </c>
      <c r="D753" s="12">
        <v>14</v>
      </c>
    </row>
    <row r="754" spans="1:4" x14ac:dyDescent="0.3">
      <c r="A754" s="12" t="s">
        <v>36</v>
      </c>
      <c r="B754" s="12" t="s">
        <v>850</v>
      </c>
      <c r="C754" s="12">
        <v>2010</v>
      </c>
      <c r="D754" s="12">
        <v>20</v>
      </c>
    </row>
    <row r="755" spans="1:4" x14ac:dyDescent="0.3">
      <c r="A755" s="12" t="s">
        <v>36</v>
      </c>
      <c r="B755" s="12" t="s">
        <v>851</v>
      </c>
      <c r="C755" s="12">
        <v>1552</v>
      </c>
      <c r="D755" s="12">
        <v>16</v>
      </c>
    </row>
    <row r="756" spans="1:4" x14ac:dyDescent="0.3">
      <c r="A756" s="12" t="s">
        <v>36</v>
      </c>
      <c r="B756" s="12" t="s">
        <v>852</v>
      </c>
      <c r="C756" s="12">
        <v>1217</v>
      </c>
      <c r="D756" s="12">
        <v>12</v>
      </c>
    </row>
    <row r="757" spans="1:4" x14ac:dyDescent="0.3">
      <c r="A757" s="12" t="s">
        <v>36</v>
      </c>
      <c r="B757" s="12" t="s">
        <v>853</v>
      </c>
      <c r="C757" s="12">
        <v>3233</v>
      </c>
      <c r="D757" s="12">
        <v>32</v>
      </c>
    </row>
    <row r="758" spans="1:4" x14ac:dyDescent="0.3">
      <c r="A758" s="12" t="s">
        <v>36</v>
      </c>
      <c r="B758" s="12" t="s">
        <v>854</v>
      </c>
      <c r="C758" s="12">
        <v>3867</v>
      </c>
      <c r="D758" s="12">
        <v>39</v>
      </c>
    </row>
    <row r="759" spans="1:4" x14ac:dyDescent="0.3">
      <c r="A759" s="12" t="s">
        <v>36</v>
      </c>
      <c r="B759" s="12" t="s">
        <v>855</v>
      </c>
      <c r="C759" s="12">
        <v>2046</v>
      </c>
      <c r="D759" s="12">
        <v>20</v>
      </c>
    </row>
    <row r="760" spans="1:4" x14ac:dyDescent="0.3">
      <c r="A760" s="12" t="s">
        <v>36</v>
      </c>
      <c r="B760" s="12" t="s">
        <v>856</v>
      </c>
      <c r="C760" s="12">
        <v>1264</v>
      </c>
      <c r="D760" s="12">
        <v>13</v>
      </c>
    </row>
    <row r="761" spans="1:4" x14ac:dyDescent="0.3">
      <c r="A761" s="12" t="s">
        <v>36</v>
      </c>
      <c r="B761" s="12" t="s">
        <v>857</v>
      </c>
      <c r="C761" s="12">
        <v>487</v>
      </c>
      <c r="D761" s="12">
        <v>5</v>
      </c>
    </row>
    <row r="762" spans="1:4" x14ac:dyDescent="0.3">
      <c r="A762" s="12" t="s">
        <v>36</v>
      </c>
      <c r="B762" s="12" t="s">
        <v>858</v>
      </c>
      <c r="C762" s="12">
        <v>1887</v>
      </c>
      <c r="D762" s="12">
        <v>19</v>
      </c>
    </row>
    <row r="763" spans="1:4" x14ac:dyDescent="0.3">
      <c r="A763" s="12" t="s">
        <v>36</v>
      </c>
      <c r="B763" s="12" t="s">
        <v>859</v>
      </c>
      <c r="C763" s="12">
        <v>1337</v>
      </c>
      <c r="D763" s="12">
        <v>13</v>
      </c>
    </row>
    <row r="764" spans="1:4" x14ac:dyDescent="0.3">
      <c r="A764" s="12" t="s">
        <v>36</v>
      </c>
      <c r="B764" s="12" t="s">
        <v>860</v>
      </c>
      <c r="C764" s="12">
        <v>2076</v>
      </c>
      <c r="D764" s="12">
        <v>21</v>
      </c>
    </row>
    <row r="765" spans="1:4" x14ac:dyDescent="0.3">
      <c r="A765" s="12" t="s">
        <v>36</v>
      </c>
      <c r="B765" s="12" t="s">
        <v>861</v>
      </c>
      <c r="C765" s="12">
        <v>4559</v>
      </c>
      <c r="D765" s="12">
        <v>46</v>
      </c>
    </row>
    <row r="766" spans="1:4" x14ac:dyDescent="0.3">
      <c r="A766" s="12" t="s">
        <v>36</v>
      </c>
      <c r="B766" s="12" t="s">
        <v>862</v>
      </c>
      <c r="C766" s="12">
        <v>4571</v>
      </c>
      <c r="D766" s="12">
        <v>46</v>
      </c>
    </row>
    <row r="767" spans="1:4" x14ac:dyDescent="0.3">
      <c r="A767" s="12" t="s">
        <v>36</v>
      </c>
      <c r="B767" s="12" t="s">
        <v>863</v>
      </c>
      <c r="C767" s="12">
        <v>2280</v>
      </c>
      <c r="D767" s="12">
        <v>23</v>
      </c>
    </row>
    <row r="768" spans="1:4" x14ac:dyDescent="0.3">
      <c r="A768" s="12" t="s">
        <v>36</v>
      </c>
      <c r="B768" s="12" t="s">
        <v>864</v>
      </c>
      <c r="C768" s="12">
        <v>1409</v>
      </c>
      <c r="D768" s="12">
        <v>14</v>
      </c>
    </row>
    <row r="769" spans="1:4" x14ac:dyDescent="0.3">
      <c r="A769" s="12" t="s">
        <v>36</v>
      </c>
      <c r="B769" s="12" t="s">
        <v>865</v>
      </c>
      <c r="C769" s="12">
        <v>4016</v>
      </c>
      <c r="D769" s="12">
        <v>40</v>
      </c>
    </row>
    <row r="770" spans="1:4" x14ac:dyDescent="0.3">
      <c r="A770" s="12" t="s">
        <v>36</v>
      </c>
      <c r="B770" s="12" t="s">
        <v>866</v>
      </c>
      <c r="C770" s="12">
        <v>2127</v>
      </c>
      <c r="D770" s="12">
        <v>21</v>
      </c>
    </row>
    <row r="771" spans="1:4" x14ac:dyDescent="0.3">
      <c r="A771" s="12" t="s">
        <v>36</v>
      </c>
      <c r="B771" s="12" t="s">
        <v>867</v>
      </c>
      <c r="C771" s="12">
        <v>3671</v>
      </c>
      <c r="D771" s="12">
        <v>37</v>
      </c>
    </row>
    <row r="772" spans="1:4" x14ac:dyDescent="0.3">
      <c r="A772" s="12" t="s">
        <v>36</v>
      </c>
      <c r="B772" s="12" t="s">
        <v>868</v>
      </c>
      <c r="C772" s="12">
        <v>5288</v>
      </c>
      <c r="D772" s="12">
        <v>53</v>
      </c>
    </row>
    <row r="773" spans="1:4" x14ac:dyDescent="0.3">
      <c r="A773" s="12" t="s">
        <v>36</v>
      </c>
      <c r="B773" s="12" t="s">
        <v>869</v>
      </c>
      <c r="C773" s="12">
        <v>1907</v>
      </c>
      <c r="D773" s="12">
        <v>19</v>
      </c>
    </row>
    <row r="774" spans="1:4" x14ac:dyDescent="0.3">
      <c r="A774" s="12" t="s">
        <v>36</v>
      </c>
      <c r="B774" s="12" t="s">
        <v>870</v>
      </c>
      <c r="C774" s="12">
        <v>2552</v>
      </c>
      <c r="D774" s="12">
        <v>26</v>
      </c>
    </row>
    <row r="775" spans="1:4" x14ac:dyDescent="0.3">
      <c r="A775" s="12" t="s">
        <v>36</v>
      </c>
      <c r="B775" s="12" t="s">
        <v>871</v>
      </c>
      <c r="C775" s="12">
        <v>3824</v>
      </c>
      <c r="D775" s="12">
        <v>38</v>
      </c>
    </row>
    <row r="776" spans="1:4" x14ac:dyDescent="0.3">
      <c r="A776" s="12" t="s">
        <v>36</v>
      </c>
      <c r="B776" s="12" t="s">
        <v>872</v>
      </c>
      <c r="C776" s="12">
        <v>1993</v>
      </c>
      <c r="D776" s="12">
        <v>20</v>
      </c>
    </row>
    <row r="777" spans="1:4" x14ac:dyDescent="0.3">
      <c r="A777" s="12" t="s">
        <v>36</v>
      </c>
      <c r="B777" s="12" t="s">
        <v>873</v>
      </c>
      <c r="C777" s="12">
        <v>1461</v>
      </c>
      <c r="D777" s="12">
        <v>15</v>
      </c>
    </row>
    <row r="778" spans="1:4" x14ac:dyDescent="0.3">
      <c r="A778" s="12" t="s">
        <v>36</v>
      </c>
      <c r="B778" s="12" t="s">
        <v>874</v>
      </c>
      <c r="C778" s="12">
        <v>1039</v>
      </c>
      <c r="D778" s="12">
        <v>10</v>
      </c>
    </row>
    <row r="779" spans="1:4" x14ac:dyDescent="0.3">
      <c r="A779" s="12" t="s">
        <v>36</v>
      </c>
      <c r="B779" s="12" t="s">
        <v>875</v>
      </c>
      <c r="C779" s="12">
        <v>917</v>
      </c>
      <c r="D779" s="12">
        <v>9</v>
      </c>
    </row>
    <row r="780" spans="1:4" x14ac:dyDescent="0.3">
      <c r="A780" s="12" t="s">
        <v>36</v>
      </c>
      <c r="B780" s="12" t="s">
        <v>876</v>
      </c>
      <c r="C780" s="12">
        <v>4043</v>
      </c>
      <c r="D780" s="12">
        <v>40</v>
      </c>
    </row>
    <row r="781" spans="1:4" x14ac:dyDescent="0.3">
      <c r="A781" s="12" t="s">
        <v>36</v>
      </c>
      <c r="B781" s="12" t="s">
        <v>877</v>
      </c>
      <c r="C781" s="12">
        <v>3154</v>
      </c>
      <c r="D781" s="12">
        <v>32</v>
      </c>
    </row>
    <row r="782" spans="1:4" x14ac:dyDescent="0.3">
      <c r="A782" s="12" t="s">
        <v>36</v>
      </c>
      <c r="B782" s="12" t="s">
        <v>878</v>
      </c>
      <c r="C782" s="12">
        <v>2573</v>
      </c>
      <c r="D782" s="12">
        <v>26</v>
      </c>
    </row>
    <row r="783" spans="1:4" x14ac:dyDescent="0.3">
      <c r="A783" s="12" t="s">
        <v>36</v>
      </c>
      <c r="B783" s="12" t="s">
        <v>879</v>
      </c>
      <c r="C783" s="12">
        <v>1937</v>
      </c>
      <c r="D783" s="12">
        <v>19</v>
      </c>
    </row>
    <row r="784" spans="1:4" x14ac:dyDescent="0.3">
      <c r="A784" s="12" t="s">
        <v>36</v>
      </c>
      <c r="B784" s="12" t="s">
        <v>880</v>
      </c>
      <c r="C784" s="12">
        <v>1299</v>
      </c>
      <c r="D784" s="12">
        <v>13</v>
      </c>
    </row>
    <row r="785" spans="1:4" x14ac:dyDescent="0.3">
      <c r="A785" s="12" t="s">
        <v>36</v>
      </c>
      <c r="B785" s="12" t="s">
        <v>881</v>
      </c>
      <c r="C785" s="12">
        <v>1216</v>
      </c>
      <c r="D785" s="12">
        <v>12</v>
      </c>
    </row>
    <row r="786" spans="1:4" x14ac:dyDescent="0.3">
      <c r="A786" s="12" t="s">
        <v>36</v>
      </c>
      <c r="B786" s="12" t="s">
        <v>882</v>
      </c>
      <c r="C786" s="12">
        <v>2343</v>
      </c>
      <c r="D786" s="12">
        <v>23</v>
      </c>
    </row>
    <row r="787" spans="1:4" x14ac:dyDescent="0.3">
      <c r="A787" s="12" t="s">
        <v>36</v>
      </c>
      <c r="B787" s="12" t="s">
        <v>883</v>
      </c>
      <c r="C787" s="12">
        <v>3669</v>
      </c>
      <c r="D787" s="12">
        <v>37</v>
      </c>
    </row>
    <row r="788" spans="1:4" x14ac:dyDescent="0.3">
      <c r="A788" s="12" t="s">
        <v>36</v>
      </c>
      <c r="B788" s="12" t="s">
        <v>884</v>
      </c>
      <c r="C788" s="12">
        <v>2143</v>
      </c>
      <c r="D788" s="12">
        <v>21</v>
      </c>
    </row>
    <row r="789" spans="1:4" x14ac:dyDescent="0.3">
      <c r="A789" s="12" t="s">
        <v>36</v>
      </c>
      <c r="B789" s="12" t="s">
        <v>885</v>
      </c>
      <c r="C789" s="12">
        <v>1945</v>
      </c>
      <c r="D789" s="12">
        <v>19</v>
      </c>
    </row>
    <row r="790" spans="1:4" x14ac:dyDescent="0.3">
      <c r="A790" s="12" t="s">
        <v>36</v>
      </c>
      <c r="B790" s="12" t="s">
        <v>886</v>
      </c>
      <c r="C790" s="12">
        <v>2509</v>
      </c>
      <c r="D790" s="12">
        <v>25</v>
      </c>
    </row>
    <row r="791" spans="1:4" x14ac:dyDescent="0.3">
      <c r="A791" s="12" t="s">
        <v>36</v>
      </c>
      <c r="B791" s="12" t="s">
        <v>887</v>
      </c>
      <c r="C791" s="12">
        <v>4494</v>
      </c>
      <c r="D791" s="12">
        <v>45</v>
      </c>
    </row>
    <row r="792" spans="1:4" x14ac:dyDescent="0.3">
      <c r="A792" s="12" t="s">
        <v>36</v>
      </c>
      <c r="B792" s="12" t="s">
        <v>888</v>
      </c>
      <c r="C792" s="12">
        <v>1255</v>
      </c>
      <c r="D792" s="12">
        <v>13</v>
      </c>
    </row>
    <row r="793" spans="1:4" x14ac:dyDescent="0.3">
      <c r="A793" s="12" t="s">
        <v>36</v>
      </c>
      <c r="B793" s="12" t="s">
        <v>889</v>
      </c>
      <c r="C793" s="12">
        <v>1868</v>
      </c>
      <c r="D793" s="12">
        <v>19</v>
      </c>
    </row>
    <row r="794" spans="1:4" ht="43.2" x14ac:dyDescent="0.3">
      <c r="A794" s="12" t="s">
        <v>37</v>
      </c>
      <c r="B794" s="12" t="s">
        <v>890</v>
      </c>
      <c r="C794" s="12">
        <v>922</v>
      </c>
      <c r="D794" s="12">
        <v>9</v>
      </c>
    </row>
    <row r="795" spans="1:4" ht="43.2" x14ac:dyDescent="0.3">
      <c r="A795" s="12" t="s">
        <v>37</v>
      </c>
      <c r="B795" s="12" t="s">
        <v>891</v>
      </c>
      <c r="C795" s="12">
        <v>431</v>
      </c>
      <c r="D795" s="12">
        <v>4</v>
      </c>
    </row>
    <row r="796" spans="1:4" ht="43.2" x14ac:dyDescent="0.3">
      <c r="A796" s="12" t="s">
        <v>37</v>
      </c>
      <c r="B796" s="12" t="s">
        <v>892</v>
      </c>
      <c r="C796" s="12">
        <v>263</v>
      </c>
      <c r="D796" s="12">
        <v>3</v>
      </c>
    </row>
    <row r="797" spans="1:4" ht="28.8" x14ac:dyDescent="0.3">
      <c r="A797" s="12" t="s">
        <v>37</v>
      </c>
      <c r="B797" s="12" t="s">
        <v>893</v>
      </c>
      <c r="C797" s="12">
        <v>211</v>
      </c>
      <c r="D797" s="12">
        <v>2</v>
      </c>
    </row>
    <row r="798" spans="1:4" x14ac:dyDescent="0.3">
      <c r="A798" s="12" t="s">
        <v>37</v>
      </c>
      <c r="B798" s="12" t="s">
        <v>894</v>
      </c>
      <c r="C798" s="12">
        <v>363</v>
      </c>
      <c r="D798" s="12">
        <v>4</v>
      </c>
    </row>
    <row r="799" spans="1:4" ht="43.2" x14ac:dyDescent="0.3">
      <c r="A799" s="12" t="s">
        <v>37</v>
      </c>
      <c r="B799" s="12" t="s">
        <v>895</v>
      </c>
      <c r="C799" s="12">
        <v>227</v>
      </c>
      <c r="D799" s="12">
        <v>2</v>
      </c>
    </row>
    <row r="800" spans="1:4" ht="28.8" x14ac:dyDescent="0.3">
      <c r="A800" s="12" t="s">
        <v>37</v>
      </c>
      <c r="B800" s="12" t="s">
        <v>896</v>
      </c>
      <c r="C800" s="12">
        <v>382</v>
      </c>
      <c r="D800" s="12">
        <v>4</v>
      </c>
    </row>
    <row r="801" spans="1:4" ht="43.2" x14ac:dyDescent="0.3">
      <c r="A801" s="12" t="s">
        <v>37</v>
      </c>
      <c r="B801" s="12" t="s">
        <v>897</v>
      </c>
      <c r="C801" s="12">
        <v>803</v>
      </c>
      <c r="D801" s="12">
        <v>8</v>
      </c>
    </row>
    <row r="802" spans="1:4" ht="43.2" x14ac:dyDescent="0.3">
      <c r="A802" s="12" t="s">
        <v>37</v>
      </c>
      <c r="B802" s="12" t="s">
        <v>898</v>
      </c>
      <c r="C802" s="12">
        <v>2644</v>
      </c>
      <c r="D802" s="12">
        <v>26</v>
      </c>
    </row>
    <row r="803" spans="1:4" ht="43.2" x14ac:dyDescent="0.3">
      <c r="A803" s="12" t="s">
        <v>37</v>
      </c>
      <c r="B803" s="12" t="s">
        <v>899</v>
      </c>
      <c r="C803" s="12">
        <v>1244</v>
      </c>
      <c r="D803" s="12">
        <v>12</v>
      </c>
    </row>
    <row r="804" spans="1:4" ht="43.2" x14ac:dyDescent="0.3">
      <c r="A804" s="12" t="s">
        <v>37</v>
      </c>
      <c r="B804" s="12" t="s">
        <v>900</v>
      </c>
      <c r="C804" s="12">
        <v>1217</v>
      </c>
      <c r="D804" s="12">
        <v>12</v>
      </c>
    </row>
    <row r="805" spans="1:4" ht="43.2" x14ac:dyDescent="0.3">
      <c r="A805" s="12" t="s">
        <v>37</v>
      </c>
      <c r="B805" s="12" t="s">
        <v>901</v>
      </c>
      <c r="C805" s="12">
        <v>784</v>
      </c>
      <c r="D805" s="12">
        <v>8</v>
      </c>
    </row>
    <row r="806" spans="1:4" ht="43.2" x14ac:dyDescent="0.3">
      <c r="A806" s="12" t="s">
        <v>37</v>
      </c>
      <c r="B806" s="12" t="s">
        <v>902</v>
      </c>
      <c r="C806" s="12">
        <v>148</v>
      </c>
      <c r="D806" s="12">
        <v>1</v>
      </c>
    </row>
    <row r="807" spans="1:4" x14ac:dyDescent="0.3">
      <c r="A807" s="12" t="s">
        <v>37</v>
      </c>
      <c r="B807" s="12" t="s">
        <v>903</v>
      </c>
      <c r="C807" s="12">
        <v>169</v>
      </c>
      <c r="D807" s="12">
        <v>2</v>
      </c>
    </row>
    <row r="808" spans="1:4" ht="43.2" x14ac:dyDescent="0.3">
      <c r="A808" s="12" t="s">
        <v>37</v>
      </c>
      <c r="B808" s="12" t="s">
        <v>904</v>
      </c>
      <c r="C808" s="12">
        <v>1454</v>
      </c>
      <c r="D808" s="12">
        <v>15</v>
      </c>
    </row>
    <row r="809" spans="1:4" ht="43.2" x14ac:dyDescent="0.3">
      <c r="A809" s="12" t="s">
        <v>37</v>
      </c>
      <c r="B809" s="12" t="s">
        <v>905</v>
      </c>
      <c r="C809" s="12">
        <v>1235</v>
      </c>
      <c r="D809" s="12">
        <v>12</v>
      </c>
    </row>
    <row r="810" spans="1:4" ht="43.2" x14ac:dyDescent="0.3">
      <c r="A810" s="12" t="s">
        <v>37</v>
      </c>
      <c r="B810" s="12" t="s">
        <v>906</v>
      </c>
      <c r="C810" s="12">
        <v>831</v>
      </c>
      <c r="D810" s="12">
        <v>8</v>
      </c>
    </row>
    <row r="811" spans="1:4" ht="43.2" x14ac:dyDescent="0.3">
      <c r="A811" s="12" t="s">
        <v>37</v>
      </c>
      <c r="B811" s="12" t="s">
        <v>907</v>
      </c>
      <c r="C811" s="12">
        <v>823</v>
      </c>
      <c r="D811" s="12">
        <v>8</v>
      </c>
    </row>
    <row r="812" spans="1:4" ht="57.6" x14ac:dyDescent="0.3">
      <c r="A812" s="12" t="s">
        <v>37</v>
      </c>
      <c r="B812" s="12" t="s">
        <v>908</v>
      </c>
      <c r="C812" s="12">
        <v>284</v>
      </c>
      <c r="D812" s="12">
        <v>3</v>
      </c>
    </row>
    <row r="813" spans="1:4" ht="43.2" x14ac:dyDescent="0.3">
      <c r="A813" s="12" t="s">
        <v>37</v>
      </c>
      <c r="B813" s="12" t="s">
        <v>909</v>
      </c>
      <c r="C813" s="12">
        <v>1185</v>
      </c>
      <c r="D813" s="12">
        <v>12</v>
      </c>
    </row>
    <row r="814" spans="1:4" ht="43.2" x14ac:dyDescent="0.3">
      <c r="A814" s="12" t="s">
        <v>37</v>
      </c>
      <c r="B814" s="12" t="s">
        <v>910</v>
      </c>
      <c r="C814" s="12">
        <v>542</v>
      </c>
      <c r="D814" s="12">
        <v>5</v>
      </c>
    </row>
    <row r="815" spans="1:4" x14ac:dyDescent="0.3">
      <c r="A815" s="12" t="s">
        <v>38</v>
      </c>
      <c r="B815" s="12" t="s">
        <v>911</v>
      </c>
      <c r="C815" s="12">
        <v>1539</v>
      </c>
      <c r="D815" s="12">
        <v>15</v>
      </c>
    </row>
    <row r="816" spans="1:4" x14ac:dyDescent="0.3">
      <c r="A816" s="12" t="s">
        <v>38</v>
      </c>
      <c r="B816" s="12" t="s">
        <v>912</v>
      </c>
      <c r="C816" s="12">
        <v>531</v>
      </c>
      <c r="D816" s="12">
        <v>5</v>
      </c>
    </row>
    <row r="817" spans="1:4" x14ac:dyDescent="0.3">
      <c r="A817" s="12" t="s">
        <v>38</v>
      </c>
      <c r="B817" s="12" t="s">
        <v>913</v>
      </c>
      <c r="C817" s="12">
        <v>1220</v>
      </c>
      <c r="D817" s="12">
        <v>12</v>
      </c>
    </row>
    <row r="818" spans="1:4" x14ac:dyDescent="0.3">
      <c r="A818" s="12" t="s">
        <v>38</v>
      </c>
      <c r="B818" s="12" t="s">
        <v>914</v>
      </c>
      <c r="C818" s="12">
        <v>518</v>
      </c>
      <c r="D818" s="12">
        <v>5</v>
      </c>
    </row>
    <row r="819" spans="1:4" x14ac:dyDescent="0.3">
      <c r="A819" s="12" t="s">
        <v>38</v>
      </c>
      <c r="B819" s="12" t="s">
        <v>915</v>
      </c>
      <c r="C819" s="12">
        <v>547</v>
      </c>
      <c r="D819" s="12">
        <v>5</v>
      </c>
    </row>
    <row r="820" spans="1:4" x14ac:dyDescent="0.3">
      <c r="A820" s="12" t="s">
        <v>38</v>
      </c>
      <c r="B820" s="12" t="s">
        <v>916</v>
      </c>
      <c r="C820" s="12">
        <v>677</v>
      </c>
      <c r="D820" s="12">
        <v>7</v>
      </c>
    </row>
    <row r="821" spans="1:4" x14ac:dyDescent="0.3">
      <c r="A821" s="12" t="s">
        <v>38</v>
      </c>
      <c r="B821" s="12" t="s">
        <v>917</v>
      </c>
      <c r="C821" s="12">
        <v>619</v>
      </c>
      <c r="D821" s="12">
        <v>6</v>
      </c>
    </row>
    <row r="822" spans="1:4" x14ac:dyDescent="0.3">
      <c r="A822" s="12" t="s">
        <v>38</v>
      </c>
      <c r="B822" s="12" t="s">
        <v>918</v>
      </c>
      <c r="C822" s="12">
        <v>756</v>
      </c>
      <c r="D822" s="12">
        <v>8</v>
      </c>
    </row>
    <row r="823" spans="1:4" x14ac:dyDescent="0.3">
      <c r="A823" s="12" t="s">
        <v>38</v>
      </c>
      <c r="B823" s="12" t="s">
        <v>919</v>
      </c>
      <c r="C823" s="12">
        <v>1007</v>
      </c>
      <c r="D823" s="12">
        <v>10</v>
      </c>
    </row>
    <row r="824" spans="1:4" x14ac:dyDescent="0.3">
      <c r="A824" s="12" t="s">
        <v>38</v>
      </c>
      <c r="B824" s="12" t="s">
        <v>920</v>
      </c>
      <c r="C824" s="12">
        <v>624</v>
      </c>
      <c r="D824" s="12">
        <v>6</v>
      </c>
    </row>
    <row r="825" spans="1:4" x14ac:dyDescent="0.3">
      <c r="A825" s="12" t="s">
        <v>38</v>
      </c>
      <c r="B825" s="12" t="s">
        <v>921</v>
      </c>
      <c r="C825" s="12">
        <v>1174</v>
      </c>
      <c r="D825" s="12">
        <v>12</v>
      </c>
    </row>
    <row r="826" spans="1:4" x14ac:dyDescent="0.3">
      <c r="A826" s="12" t="s">
        <v>38</v>
      </c>
      <c r="B826" s="12" t="s">
        <v>922</v>
      </c>
      <c r="C826" s="12">
        <v>907</v>
      </c>
      <c r="D826" s="12">
        <v>9</v>
      </c>
    </row>
    <row r="827" spans="1:4" x14ac:dyDescent="0.3">
      <c r="A827" s="12" t="s">
        <v>38</v>
      </c>
      <c r="B827" s="12" t="s">
        <v>923</v>
      </c>
      <c r="C827" s="12">
        <v>839</v>
      </c>
      <c r="D827" s="12">
        <v>8</v>
      </c>
    </row>
    <row r="828" spans="1:4" x14ac:dyDescent="0.3">
      <c r="A828" s="12" t="s">
        <v>38</v>
      </c>
      <c r="B828" s="12" t="s">
        <v>924</v>
      </c>
      <c r="C828" s="12">
        <v>436</v>
      </c>
      <c r="D828" s="12">
        <v>4</v>
      </c>
    </row>
    <row r="829" spans="1:4" x14ac:dyDescent="0.3">
      <c r="A829" s="12" t="s">
        <v>38</v>
      </c>
      <c r="B829" s="12" t="s">
        <v>925</v>
      </c>
      <c r="C829" s="12">
        <v>657</v>
      </c>
      <c r="D829" s="12">
        <v>7</v>
      </c>
    </row>
    <row r="830" spans="1:4" x14ac:dyDescent="0.3">
      <c r="A830" s="12" t="s">
        <v>38</v>
      </c>
      <c r="B830" s="12" t="s">
        <v>926</v>
      </c>
      <c r="C830" s="12">
        <v>886</v>
      </c>
      <c r="D830" s="12">
        <v>9</v>
      </c>
    </row>
    <row r="831" spans="1:4" x14ac:dyDescent="0.3">
      <c r="A831" s="12" t="s">
        <v>38</v>
      </c>
      <c r="B831" s="12" t="s">
        <v>927</v>
      </c>
      <c r="C831" s="12">
        <v>1114</v>
      </c>
      <c r="D831" s="12">
        <v>11</v>
      </c>
    </row>
    <row r="832" spans="1:4" x14ac:dyDescent="0.3">
      <c r="A832" s="12" t="s">
        <v>38</v>
      </c>
      <c r="B832" s="12" t="s">
        <v>928</v>
      </c>
      <c r="C832" s="12">
        <v>629</v>
      </c>
      <c r="D832" s="12">
        <v>6</v>
      </c>
    </row>
    <row r="833" spans="1:4" x14ac:dyDescent="0.3">
      <c r="A833" s="12" t="s">
        <v>38</v>
      </c>
      <c r="B833" s="12" t="s">
        <v>929</v>
      </c>
      <c r="C833" s="12">
        <v>590</v>
      </c>
      <c r="D833" s="12">
        <v>6</v>
      </c>
    </row>
    <row r="834" spans="1:4" x14ac:dyDescent="0.3">
      <c r="A834" s="12" t="s">
        <v>38</v>
      </c>
      <c r="B834" s="12" t="s">
        <v>930</v>
      </c>
      <c r="C834" s="12">
        <v>1005</v>
      </c>
      <c r="D834" s="12">
        <v>10</v>
      </c>
    </row>
    <row r="835" spans="1:4" x14ac:dyDescent="0.3">
      <c r="A835" s="12" t="s">
        <v>38</v>
      </c>
      <c r="B835" s="12" t="s">
        <v>931</v>
      </c>
      <c r="C835" s="12">
        <v>383</v>
      </c>
      <c r="D835" s="12">
        <v>4</v>
      </c>
    </row>
    <row r="836" spans="1:4" x14ac:dyDescent="0.3">
      <c r="A836" s="12" t="s">
        <v>38</v>
      </c>
      <c r="B836" s="12" t="s">
        <v>932</v>
      </c>
      <c r="C836" s="12">
        <v>1042</v>
      </c>
      <c r="D836" s="12">
        <v>10</v>
      </c>
    </row>
    <row r="837" spans="1:4" x14ac:dyDescent="0.3">
      <c r="A837" s="12" t="s">
        <v>38</v>
      </c>
      <c r="B837" s="12" t="s">
        <v>933</v>
      </c>
      <c r="C837" s="12">
        <v>554</v>
      </c>
      <c r="D837" s="12">
        <v>6</v>
      </c>
    </row>
    <row r="838" spans="1:4" x14ac:dyDescent="0.3">
      <c r="A838" s="12" t="s">
        <v>38</v>
      </c>
      <c r="B838" s="12" t="s">
        <v>934</v>
      </c>
      <c r="C838" s="12">
        <v>603</v>
      </c>
      <c r="D838" s="12">
        <v>6</v>
      </c>
    </row>
    <row r="839" spans="1:4" x14ac:dyDescent="0.3">
      <c r="A839" s="12" t="s">
        <v>38</v>
      </c>
      <c r="B839" s="12" t="s">
        <v>935</v>
      </c>
      <c r="C839" s="12">
        <v>724</v>
      </c>
      <c r="D839" s="12">
        <v>7</v>
      </c>
    </row>
    <row r="840" spans="1:4" x14ac:dyDescent="0.3">
      <c r="A840" s="12" t="s">
        <v>38</v>
      </c>
      <c r="B840" s="12" t="s">
        <v>936</v>
      </c>
      <c r="C840" s="12">
        <v>1166</v>
      </c>
      <c r="D840" s="12">
        <v>12</v>
      </c>
    </row>
    <row r="841" spans="1:4" x14ac:dyDescent="0.3">
      <c r="A841" s="12" t="s">
        <v>38</v>
      </c>
      <c r="B841" s="12" t="s">
        <v>937</v>
      </c>
      <c r="C841" s="12">
        <v>1768</v>
      </c>
      <c r="D841" s="12">
        <v>18</v>
      </c>
    </row>
    <row r="842" spans="1:4" x14ac:dyDescent="0.3">
      <c r="A842" s="12" t="s">
        <v>38</v>
      </c>
      <c r="B842" s="12" t="s">
        <v>938</v>
      </c>
      <c r="C842" s="12">
        <v>766</v>
      </c>
      <c r="D842" s="12">
        <v>8</v>
      </c>
    </row>
    <row r="843" spans="1:4" x14ac:dyDescent="0.3">
      <c r="A843" s="12" t="s">
        <v>38</v>
      </c>
      <c r="B843" s="12" t="s">
        <v>939</v>
      </c>
      <c r="C843" s="12">
        <v>1196</v>
      </c>
      <c r="D843" s="12">
        <v>12</v>
      </c>
    </row>
    <row r="844" spans="1:4" x14ac:dyDescent="0.3">
      <c r="A844" s="12" t="s">
        <v>38</v>
      </c>
      <c r="B844" s="12" t="s">
        <v>940</v>
      </c>
      <c r="C844" s="12">
        <v>191</v>
      </c>
      <c r="D844" s="12">
        <v>2</v>
      </c>
    </row>
    <row r="845" spans="1:4" x14ac:dyDescent="0.3">
      <c r="A845" s="12" t="s">
        <v>38</v>
      </c>
      <c r="B845" s="12" t="s">
        <v>941</v>
      </c>
      <c r="C845" s="12">
        <v>1527</v>
      </c>
      <c r="D845" s="12">
        <v>15</v>
      </c>
    </row>
    <row r="846" spans="1:4" x14ac:dyDescent="0.3">
      <c r="A846" s="12" t="s">
        <v>38</v>
      </c>
      <c r="B846" s="12" t="s">
        <v>942</v>
      </c>
      <c r="C846" s="12">
        <v>1938</v>
      </c>
      <c r="D846" s="12">
        <v>19</v>
      </c>
    </row>
    <row r="847" spans="1:4" x14ac:dyDescent="0.3">
      <c r="A847" s="12" t="s">
        <v>38</v>
      </c>
      <c r="B847" s="12" t="s">
        <v>943</v>
      </c>
      <c r="C847" s="12">
        <v>1036</v>
      </c>
      <c r="D847" s="12">
        <v>10</v>
      </c>
    </row>
    <row r="848" spans="1:4" x14ac:dyDescent="0.3">
      <c r="A848" s="12" t="s">
        <v>38</v>
      </c>
      <c r="B848" s="12" t="s">
        <v>944</v>
      </c>
      <c r="C848" s="12">
        <v>495</v>
      </c>
      <c r="D848" s="12">
        <v>5</v>
      </c>
    </row>
    <row r="849" spans="1:4" x14ac:dyDescent="0.3">
      <c r="A849" s="12" t="s">
        <v>38</v>
      </c>
      <c r="B849" s="12" t="s">
        <v>945</v>
      </c>
      <c r="C849" s="12">
        <v>378</v>
      </c>
      <c r="D849" s="12">
        <v>4</v>
      </c>
    </row>
    <row r="850" spans="1:4" x14ac:dyDescent="0.3">
      <c r="A850" s="12" t="s">
        <v>38</v>
      </c>
      <c r="B850" s="12" t="s">
        <v>946</v>
      </c>
      <c r="C850" s="12">
        <v>870</v>
      </c>
      <c r="D850" s="12">
        <v>9</v>
      </c>
    </row>
    <row r="851" spans="1:4" x14ac:dyDescent="0.3">
      <c r="A851" s="12" t="s">
        <v>38</v>
      </c>
      <c r="B851" s="12" t="s">
        <v>947</v>
      </c>
      <c r="C851" s="12">
        <v>349</v>
      </c>
      <c r="D851" s="12">
        <v>3</v>
      </c>
    </row>
    <row r="852" spans="1:4" x14ac:dyDescent="0.3">
      <c r="A852" s="12" t="s">
        <v>38</v>
      </c>
      <c r="B852" s="12" t="s">
        <v>948</v>
      </c>
      <c r="C852" s="12">
        <v>755</v>
      </c>
      <c r="D852" s="12">
        <v>8</v>
      </c>
    </row>
    <row r="853" spans="1:4" x14ac:dyDescent="0.3">
      <c r="A853" s="12" t="s">
        <v>38</v>
      </c>
      <c r="B853" s="12" t="s">
        <v>949</v>
      </c>
      <c r="C853" s="12">
        <v>2391</v>
      </c>
      <c r="D853" s="12">
        <v>24</v>
      </c>
    </row>
    <row r="854" spans="1:4" x14ac:dyDescent="0.3">
      <c r="A854" s="12" t="s">
        <v>38</v>
      </c>
      <c r="B854" s="12" t="s">
        <v>950</v>
      </c>
      <c r="C854" s="12">
        <v>1032</v>
      </c>
      <c r="D854" s="12">
        <v>10</v>
      </c>
    </row>
    <row r="855" spans="1:4" x14ac:dyDescent="0.3">
      <c r="A855" s="12" t="s">
        <v>38</v>
      </c>
      <c r="B855" s="12" t="s">
        <v>951</v>
      </c>
      <c r="C855" s="12">
        <v>1101</v>
      </c>
      <c r="D855" s="12">
        <v>11</v>
      </c>
    </row>
    <row r="856" spans="1:4" x14ac:dyDescent="0.3">
      <c r="A856" s="12" t="s">
        <v>38</v>
      </c>
      <c r="B856" s="12" t="s">
        <v>952</v>
      </c>
      <c r="C856" s="12">
        <v>1342</v>
      </c>
      <c r="D856" s="12">
        <v>13</v>
      </c>
    </row>
    <row r="857" spans="1:4" x14ac:dyDescent="0.3">
      <c r="A857" s="12" t="s">
        <v>38</v>
      </c>
      <c r="B857" s="12" t="s">
        <v>953</v>
      </c>
      <c r="C857" s="12">
        <v>1774</v>
      </c>
      <c r="D857" s="12">
        <v>18</v>
      </c>
    </row>
    <row r="858" spans="1:4" x14ac:dyDescent="0.3">
      <c r="A858" s="12" t="s">
        <v>38</v>
      </c>
      <c r="B858" s="12" t="s">
        <v>954</v>
      </c>
      <c r="C858" s="12">
        <v>2306</v>
      </c>
      <c r="D858" s="12">
        <v>23</v>
      </c>
    </row>
    <row r="859" spans="1:4" x14ac:dyDescent="0.3">
      <c r="A859" s="12" t="s">
        <v>38</v>
      </c>
      <c r="B859" s="12" t="s">
        <v>955</v>
      </c>
      <c r="C859" s="12">
        <v>1064</v>
      </c>
      <c r="D859" s="12">
        <v>11</v>
      </c>
    </row>
    <row r="860" spans="1:4" x14ac:dyDescent="0.3">
      <c r="A860" s="12" t="s">
        <v>38</v>
      </c>
      <c r="B860" s="12" t="s">
        <v>956</v>
      </c>
      <c r="C860" s="12">
        <v>956</v>
      </c>
      <c r="D860" s="12">
        <v>10</v>
      </c>
    </row>
    <row r="861" spans="1:4" x14ac:dyDescent="0.3">
      <c r="A861" s="12" t="s">
        <v>38</v>
      </c>
      <c r="B861" s="12" t="s">
        <v>957</v>
      </c>
      <c r="C861" s="12">
        <v>530</v>
      </c>
      <c r="D861" s="12">
        <v>5</v>
      </c>
    </row>
    <row r="862" spans="1:4" x14ac:dyDescent="0.3">
      <c r="A862" s="12" t="s">
        <v>38</v>
      </c>
      <c r="B862" s="12" t="s">
        <v>958</v>
      </c>
      <c r="C862" s="12">
        <v>1051</v>
      </c>
      <c r="D862" s="12">
        <v>11</v>
      </c>
    </row>
    <row r="863" spans="1:4" x14ac:dyDescent="0.3">
      <c r="A863" s="12" t="s">
        <v>38</v>
      </c>
      <c r="B863" s="12" t="s">
        <v>959</v>
      </c>
      <c r="C863" s="12">
        <v>1213</v>
      </c>
      <c r="D863" s="12">
        <v>12</v>
      </c>
    </row>
    <row r="864" spans="1:4" x14ac:dyDescent="0.3">
      <c r="A864" s="12" t="s">
        <v>38</v>
      </c>
      <c r="B864" s="12" t="s">
        <v>960</v>
      </c>
      <c r="C864" s="12">
        <v>601</v>
      </c>
      <c r="D864" s="12">
        <v>6</v>
      </c>
    </row>
    <row r="865" spans="1:4" x14ac:dyDescent="0.3">
      <c r="A865" s="12" t="s">
        <v>38</v>
      </c>
      <c r="B865" s="12" t="s">
        <v>961</v>
      </c>
      <c r="C865" s="12">
        <v>662</v>
      </c>
      <c r="D865" s="12">
        <v>7</v>
      </c>
    </row>
    <row r="866" spans="1:4" x14ac:dyDescent="0.3">
      <c r="A866" s="12" t="s">
        <v>38</v>
      </c>
      <c r="B866" s="12" t="s">
        <v>962</v>
      </c>
      <c r="C866" s="12">
        <v>476</v>
      </c>
      <c r="D866" s="12">
        <v>5</v>
      </c>
    </row>
    <row r="867" spans="1:4" x14ac:dyDescent="0.3">
      <c r="A867" s="12" t="s">
        <v>38</v>
      </c>
      <c r="B867" s="12" t="s">
        <v>963</v>
      </c>
      <c r="C867" s="12">
        <v>1414</v>
      </c>
      <c r="D867" s="12">
        <v>14</v>
      </c>
    </row>
    <row r="868" spans="1:4" x14ac:dyDescent="0.3">
      <c r="A868" s="12" t="s">
        <v>38</v>
      </c>
      <c r="B868" s="12" t="s">
        <v>964</v>
      </c>
      <c r="C868" s="12">
        <v>982</v>
      </c>
      <c r="D868" s="12">
        <v>10</v>
      </c>
    </row>
    <row r="869" spans="1:4" x14ac:dyDescent="0.3">
      <c r="A869" s="12" t="s">
        <v>38</v>
      </c>
      <c r="B869" s="12" t="s">
        <v>965</v>
      </c>
      <c r="C869" s="12">
        <v>869</v>
      </c>
      <c r="D869" s="12">
        <v>9</v>
      </c>
    </row>
    <row r="870" spans="1:4" x14ac:dyDescent="0.3">
      <c r="A870" s="12" t="s">
        <v>38</v>
      </c>
      <c r="B870" s="12" t="s">
        <v>966</v>
      </c>
      <c r="C870" s="12">
        <v>1101</v>
      </c>
      <c r="D870" s="12">
        <v>11</v>
      </c>
    </row>
    <row r="871" spans="1:4" x14ac:dyDescent="0.3">
      <c r="A871" s="12" t="s">
        <v>38</v>
      </c>
      <c r="B871" s="12" t="s">
        <v>967</v>
      </c>
      <c r="C871" s="12">
        <v>832</v>
      </c>
      <c r="D871" s="12">
        <v>8</v>
      </c>
    </row>
    <row r="872" spans="1:4" x14ac:dyDescent="0.3">
      <c r="A872" s="12" t="s">
        <v>38</v>
      </c>
      <c r="B872" s="12" t="s">
        <v>968</v>
      </c>
      <c r="C872" s="12">
        <v>1003</v>
      </c>
      <c r="D872" s="12">
        <v>10</v>
      </c>
    </row>
    <row r="873" spans="1:4" x14ac:dyDescent="0.3">
      <c r="A873" s="12" t="s">
        <v>38</v>
      </c>
      <c r="B873" s="12" t="s">
        <v>969</v>
      </c>
      <c r="C873" s="12">
        <v>1410</v>
      </c>
      <c r="D873" s="12">
        <v>14</v>
      </c>
    </row>
    <row r="874" spans="1:4" x14ac:dyDescent="0.3">
      <c r="A874" s="12" t="s">
        <v>38</v>
      </c>
      <c r="B874" s="12" t="s">
        <v>970</v>
      </c>
      <c r="C874" s="12">
        <v>1522</v>
      </c>
      <c r="D874" s="12">
        <v>15</v>
      </c>
    </row>
    <row r="875" spans="1:4" x14ac:dyDescent="0.3">
      <c r="A875" s="12" t="s">
        <v>38</v>
      </c>
      <c r="B875" s="12" t="s">
        <v>971</v>
      </c>
      <c r="C875" s="12">
        <v>1346</v>
      </c>
      <c r="D875" s="12">
        <v>13</v>
      </c>
    </row>
    <row r="876" spans="1:4" x14ac:dyDescent="0.3">
      <c r="A876" s="12" t="s">
        <v>38</v>
      </c>
      <c r="B876" s="12" t="s">
        <v>972</v>
      </c>
      <c r="C876" s="12">
        <v>872</v>
      </c>
      <c r="D876" s="12">
        <v>9</v>
      </c>
    </row>
    <row r="877" spans="1:4" x14ac:dyDescent="0.3">
      <c r="A877" s="12" t="s">
        <v>38</v>
      </c>
      <c r="B877" s="12" t="s">
        <v>973</v>
      </c>
      <c r="C877" s="12">
        <v>897</v>
      </c>
      <c r="D877" s="12">
        <v>9</v>
      </c>
    </row>
    <row r="878" spans="1:4" x14ac:dyDescent="0.3">
      <c r="A878" s="12" t="s">
        <v>38</v>
      </c>
      <c r="B878" s="12" t="s">
        <v>974</v>
      </c>
      <c r="C878" s="12">
        <v>681</v>
      </c>
      <c r="D878" s="12">
        <v>7</v>
      </c>
    </row>
    <row r="879" spans="1:4" x14ac:dyDescent="0.3">
      <c r="A879" s="12" t="s">
        <v>38</v>
      </c>
      <c r="B879" s="12" t="s">
        <v>975</v>
      </c>
      <c r="C879" s="12">
        <v>917</v>
      </c>
      <c r="D879" s="12">
        <v>9</v>
      </c>
    </row>
    <row r="880" spans="1:4" x14ac:dyDescent="0.3">
      <c r="A880" s="12" t="s">
        <v>38</v>
      </c>
      <c r="B880" s="12" t="s">
        <v>976</v>
      </c>
      <c r="C880" s="12">
        <v>628</v>
      </c>
      <c r="D880" s="12">
        <v>6</v>
      </c>
    </row>
    <row r="881" spans="1:4" x14ac:dyDescent="0.3">
      <c r="A881" s="12" t="s">
        <v>38</v>
      </c>
      <c r="B881" s="12" t="s">
        <v>977</v>
      </c>
      <c r="C881" s="12">
        <v>2243</v>
      </c>
      <c r="D881" s="12">
        <v>22</v>
      </c>
    </row>
    <row r="882" spans="1:4" x14ac:dyDescent="0.3">
      <c r="A882" s="12" t="s">
        <v>38</v>
      </c>
      <c r="B882" s="12" t="s">
        <v>978</v>
      </c>
      <c r="C882" s="12">
        <v>1082</v>
      </c>
      <c r="D882" s="12">
        <v>11</v>
      </c>
    </row>
    <row r="883" spans="1:4" x14ac:dyDescent="0.3">
      <c r="A883" s="12" t="s">
        <v>38</v>
      </c>
      <c r="B883" s="12" t="s">
        <v>979</v>
      </c>
      <c r="C883" s="12">
        <v>1902</v>
      </c>
      <c r="D883" s="12">
        <v>19</v>
      </c>
    </row>
    <row r="884" spans="1:4" x14ac:dyDescent="0.3">
      <c r="A884" s="12" t="s">
        <v>38</v>
      </c>
      <c r="B884" s="12" t="s">
        <v>980</v>
      </c>
      <c r="C884" s="12">
        <v>1126</v>
      </c>
      <c r="D884" s="12">
        <v>11</v>
      </c>
    </row>
    <row r="885" spans="1:4" x14ac:dyDescent="0.3">
      <c r="A885" s="12" t="s">
        <v>38</v>
      </c>
      <c r="B885" s="12" t="s">
        <v>981</v>
      </c>
      <c r="C885" s="12">
        <v>890</v>
      </c>
      <c r="D885" s="12">
        <v>9</v>
      </c>
    </row>
    <row r="886" spans="1:4" x14ac:dyDescent="0.3">
      <c r="A886" s="12" t="s">
        <v>38</v>
      </c>
      <c r="B886" s="12" t="s">
        <v>982</v>
      </c>
      <c r="C886" s="12">
        <v>1640</v>
      </c>
      <c r="D886" s="12">
        <v>16</v>
      </c>
    </row>
    <row r="887" spans="1:4" x14ac:dyDescent="0.3">
      <c r="A887" s="12" t="s">
        <v>38</v>
      </c>
      <c r="B887" s="12" t="s">
        <v>983</v>
      </c>
      <c r="C887" s="12">
        <v>784</v>
      </c>
      <c r="D887" s="12">
        <v>8</v>
      </c>
    </row>
    <row r="888" spans="1:4" x14ac:dyDescent="0.3">
      <c r="A888" s="12" t="s">
        <v>38</v>
      </c>
      <c r="B888" s="12" t="s">
        <v>984</v>
      </c>
      <c r="C888" s="12">
        <v>1093</v>
      </c>
      <c r="D888" s="12">
        <v>11</v>
      </c>
    </row>
    <row r="889" spans="1:4" x14ac:dyDescent="0.3">
      <c r="A889" s="12" t="s">
        <v>38</v>
      </c>
      <c r="B889" s="12" t="s">
        <v>985</v>
      </c>
      <c r="C889" s="12">
        <v>606</v>
      </c>
      <c r="D889" s="12">
        <v>6</v>
      </c>
    </row>
    <row r="890" spans="1:4" x14ac:dyDescent="0.3">
      <c r="A890" s="12" t="s">
        <v>38</v>
      </c>
      <c r="B890" s="12" t="s">
        <v>986</v>
      </c>
      <c r="C890" s="12">
        <v>861</v>
      </c>
      <c r="D890" s="12">
        <v>9</v>
      </c>
    </row>
    <row r="891" spans="1:4" x14ac:dyDescent="0.3">
      <c r="A891" s="12" t="s">
        <v>38</v>
      </c>
      <c r="B891" s="12" t="s">
        <v>987</v>
      </c>
      <c r="C891" s="12">
        <v>632</v>
      </c>
      <c r="D891" s="12">
        <v>6</v>
      </c>
    </row>
    <row r="892" spans="1:4" x14ac:dyDescent="0.3">
      <c r="A892" s="12" t="s">
        <v>38</v>
      </c>
      <c r="B892" s="12" t="s">
        <v>988</v>
      </c>
      <c r="C892" s="12">
        <v>925</v>
      </c>
      <c r="D892" s="12">
        <v>9</v>
      </c>
    </row>
    <row r="893" spans="1:4" x14ac:dyDescent="0.3">
      <c r="A893" s="12" t="s">
        <v>38</v>
      </c>
      <c r="B893" s="12" t="s">
        <v>989</v>
      </c>
      <c r="C893" s="12">
        <v>1064</v>
      </c>
      <c r="D893" s="12">
        <v>11</v>
      </c>
    </row>
    <row r="894" spans="1:4" x14ac:dyDescent="0.3">
      <c r="A894" s="12" t="s">
        <v>38</v>
      </c>
      <c r="B894" s="12" t="s">
        <v>990</v>
      </c>
      <c r="C894" s="12">
        <v>557</v>
      </c>
      <c r="D894" s="12">
        <v>6</v>
      </c>
    </row>
    <row r="895" spans="1:4" x14ac:dyDescent="0.3">
      <c r="A895" s="12" t="s">
        <v>38</v>
      </c>
      <c r="B895" s="12" t="s">
        <v>991</v>
      </c>
      <c r="C895" s="12">
        <v>630</v>
      </c>
      <c r="D895" s="12">
        <v>6</v>
      </c>
    </row>
    <row r="896" spans="1:4" x14ac:dyDescent="0.3">
      <c r="A896" s="12" t="s">
        <v>38</v>
      </c>
      <c r="B896" s="12" t="s">
        <v>992</v>
      </c>
      <c r="C896" s="12">
        <v>1691</v>
      </c>
      <c r="D896" s="12">
        <v>17</v>
      </c>
    </row>
    <row r="897" spans="1:4" x14ac:dyDescent="0.3">
      <c r="A897" s="12" t="s">
        <v>38</v>
      </c>
      <c r="B897" s="12" t="s">
        <v>993</v>
      </c>
      <c r="C897" s="12">
        <v>1314</v>
      </c>
      <c r="D897" s="12">
        <v>13</v>
      </c>
    </row>
    <row r="898" spans="1:4" x14ac:dyDescent="0.3">
      <c r="A898" s="12" t="s">
        <v>38</v>
      </c>
      <c r="B898" s="12" t="s">
        <v>994</v>
      </c>
      <c r="C898" s="12">
        <v>619</v>
      </c>
      <c r="D898" s="12">
        <v>6</v>
      </c>
    </row>
    <row r="899" spans="1:4" x14ac:dyDescent="0.3">
      <c r="A899" s="12" t="s">
        <v>38</v>
      </c>
      <c r="B899" s="12" t="s">
        <v>995</v>
      </c>
      <c r="C899" s="12">
        <v>678</v>
      </c>
      <c r="D899" s="12">
        <v>7</v>
      </c>
    </row>
    <row r="900" spans="1:4" x14ac:dyDescent="0.3">
      <c r="A900" s="12" t="s">
        <v>38</v>
      </c>
      <c r="B900" s="12" t="s">
        <v>996</v>
      </c>
      <c r="C900" s="12">
        <v>668</v>
      </c>
      <c r="D900" s="12">
        <v>7</v>
      </c>
    </row>
    <row r="901" spans="1:4" x14ac:dyDescent="0.3">
      <c r="A901" s="12" t="s">
        <v>38</v>
      </c>
      <c r="B901" s="12" t="s">
        <v>997</v>
      </c>
      <c r="C901" s="12">
        <v>545</v>
      </c>
      <c r="D901" s="12">
        <v>5</v>
      </c>
    </row>
    <row r="902" spans="1:4" x14ac:dyDescent="0.3">
      <c r="A902" s="12" t="s">
        <v>38</v>
      </c>
      <c r="B902" s="12" t="s">
        <v>998</v>
      </c>
      <c r="C902" s="12">
        <v>1030</v>
      </c>
      <c r="D902" s="12">
        <v>10</v>
      </c>
    </row>
    <row r="903" spans="1:4" x14ac:dyDescent="0.3">
      <c r="A903" s="12" t="s">
        <v>38</v>
      </c>
      <c r="B903" s="12" t="s">
        <v>999</v>
      </c>
      <c r="C903" s="12">
        <v>696</v>
      </c>
      <c r="D903" s="12">
        <v>7</v>
      </c>
    </row>
    <row r="904" spans="1:4" x14ac:dyDescent="0.3">
      <c r="A904" s="12" t="s">
        <v>38</v>
      </c>
      <c r="B904" s="12" t="s">
        <v>1000</v>
      </c>
      <c r="C904" s="12">
        <v>803</v>
      </c>
      <c r="D904" s="12">
        <v>8</v>
      </c>
    </row>
    <row r="905" spans="1:4" x14ac:dyDescent="0.3">
      <c r="A905" s="12" t="s">
        <v>38</v>
      </c>
      <c r="B905" s="12" t="s">
        <v>1001</v>
      </c>
      <c r="C905" s="12">
        <v>1566</v>
      </c>
      <c r="D905" s="12">
        <v>16</v>
      </c>
    </row>
    <row r="906" spans="1:4" x14ac:dyDescent="0.3">
      <c r="A906" s="12" t="s">
        <v>38</v>
      </c>
      <c r="B906" s="12" t="s">
        <v>1002</v>
      </c>
      <c r="C906" s="12">
        <v>1089</v>
      </c>
      <c r="D906" s="12">
        <v>11</v>
      </c>
    </row>
    <row r="907" spans="1:4" x14ac:dyDescent="0.3">
      <c r="A907" s="12" t="s">
        <v>38</v>
      </c>
      <c r="B907" s="12" t="s">
        <v>1003</v>
      </c>
      <c r="C907" s="12">
        <v>914</v>
      </c>
      <c r="D907" s="12">
        <v>9</v>
      </c>
    </row>
    <row r="908" spans="1:4" x14ac:dyDescent="0.3">
      <c r="A908" s="12" t="s">
        <v>38</v>
      </c>
      <c r="B908" s="12" t="s">
        <v>1004</v>
      </c>
      <c r="C908" s="12">
        <v>1008</v>
      </c>
      <c r="D908" s="12">
        <v>10</v>
      </c>
    </row>
    <row r="909" spans="1:4" x14ac:dyDescent="0.3">
      <c r="A909" s="12" t="s">
        <v>38</v>
      </c>
      <c r="B909" s="12" t="s">
        <v>1005</v>
      </c>
      <c r="C909" s="12">
        <v>1670</v>
      </c>
      <c r="D909" s="12">
        <v>17</v>
      </c>
    </row>
    <row r="910" spans="1:4" x14ac:dyDescent="0.3">
      <c r="A910" s="12" t="s">
        <v>38</v>
      </c>
      <c r="B910" s="12" t="s">
        <v>1006</v>
      </c>
      <c r="C910" s="12">
        <v>1216</v>
      </c>
      <c r="D910" s="12">
        <v>12</v>
      </c>
    </row>
    <row r="911" spans="1:4" x14ac:dyDescent="0.3">
      <c r="A911" s="12" t="s">
        <v>38</v>
      </c>
      <c r="B911" s="12" t="s">
        <v>1007</v>
      </c>
      <c r="C911" s="12">
        <v>1090</v>
      </c>
      <c r="D911" s="12">
        <v>11</v>
      </c>
    </row>
    <row r="912" spans="1:4" x14ac:dyDescent="0.3">
      <c r="A912" s="12" t="s">
        <v>38</v>
      </c>
      <c r="B912" s="12" t="s">
        <v>1008</v>
      </c>
      <c r="C912" s="12">
        <v>1459</v>
      </c>
      <c r="D912" s="12">
        <v>15</v>
      </c>
    </row>
    <row r="913" spans="1:4" x14ac:dyDescent="0.3">
      <c r="A913" s="12" t="s">
        <v>38</v>
      </c>
      <c r="B913" s="12" t="s">
        <v>1009</v>
      </c>
      <c r="C913" s="12">
        <v>896</v>
      </c>
      <c r="D913" s="12">
        <v>9</v>
      </c>
    </row>
    <row r="914" spans="1:4" x14ac:dyDescent="0.3">
      <c r="A914" s="12" t="s">
        <v>38</v>
      </c>
      <c r="B914" s="12" t="s">
        <v>1010</v>
      </c>
      <c r="C914" s="12">
        <v>1125</v>
      </c>
      <c r="D914" s="12">
        <v>11</v>
      </c>
    </row>
    <row r="915" spans="1:4" x14ac:dyDescent="0.3">
      <c r="A915" s="12" t="s">
        <v>38</v>
      </c>
      <c r="B915" s="12" t="s">
        <v>1011</v>
      </c>
      <c r="C915" s="12">
        <v>575</v>
      </c>
      <c r="D915" s="12">
        <v>6</v>
      </c>
    </row>
    <row r="916" spans="1:4" x14ac:dyDescent="0.3">
      <c r="A916" s="12" t="s">
        <v>39</v>
      </c>
      <c r="B916" s="12" t="s">
        <v>1012</v>
      </c>
      <c r="C916" s="12">
        <v>656</v>
      </c>
      <c r="D916" s="12">
        <v>7</v>
      </c>
    </row>
    <row r="917" spans="1:4" ht="28.8" x14ac:dyDescent="0.3">
      <c r="A917" s="12" t="s">
        <v>39</v>
      </c>
      <c r="B917" s="12" t="s">
        <v>1013</v>
      </c>
      <c r="C917" s="12">
        <v>445</v>
      </c>
      <c r="D917" s="12">
        <v>4</v>
      </c>
    </row>
    <row r="918" spans="1:4" ht="43.2" x14ac:dyDescent="0.3">
      <c r="A918" s="12" t="s">
        <v>39</v>
      </c>
      <c r="B918" s="12" t="s">
        <v>245</v>
      </c>
      <c r="C918" s="12">
        <v>854</v>
      </c>
      <c r="D918" s="12">
        <v>9</v>
      </c>
    </row>
    <row r="919" spans="1:4" ht="72" x14ac:dyDescent="0.3">
      <c r="A919" s="12" t="s">
        <v>39</v>
      </c>
      <c r="B919" s="12" t="s">
        <v>1014</v>
      </c>
      <c r="C919" s="12">
        <v>915</v>
      </c>
      <c r="D919" s="12">
        <v>9</v>
      </c>
    </row>
    <row r="920" spans="1:4" ht="43.2" x14ac:dyDescent="0.3">
      <c r="A920" s="12" t="s">
        <v>39</v>
      </c>
      <c r="B920" s="12" t="s">
        <v>1015</v>
      </c>
      <c r="C920" s="12">
        <v>1358</v>
      </c>
      <c r="D920" s="12">
        <v>14</v>
      </c>
    </row>
    <row r="921" spans="1:4" ht="28.8" x14ac:dyDescent="0.3">
      <c r="A921" s="12" t="s">
        <v>39</v>
      </c>
      <c r="B921" s="12" t="s">
        <v>1016</v>
      </c>
      <c r="C921" s="12">
        <v>589</v>
      </c>
      <c r="D921" s="12">
        <v>6</v>
      </c>
    </row>
    <row r="922" spans="1:4" ht="43.2" x14ac:dyDescent="0.3">
      <c r="A922" s="12" t="s">
        <v>39</v>
      </c>
      <c r="B922" s="12" t="s">
        <v>1017</v>
      </c>
      <c r="C922" s="12">
        <v>1079</v>
      </c>
      <c r="D922" s="12">
        <v>11</v>
      </c>
    </row>
    <row r="923" spans="1:4" ht="28.8" x14ac:dyDescent="0.3">
      <c r="A923" s="12" t="s">
        <v>39</v>
      </c>
      <c r="B923" s="12" t="s">
        <v>1018</v>
      </c>
      <c r="C923" s="12">
        <v>280</v>
      </c>
      <c r="D923" s="12">
        <v>3</v>
      </c>
    </row>
    <row r="924" spans="1:4" ht="43.2" x14ac:dyDescent="0.3">
      <c r="A924" s="12" t="s">
        <v>39</v>
      </c>
      <c r="B924" s="12" t="s">
        <v>1019</v>
      </c>
      <c r="C924" s="12">
        <v>439</v>
      </c>
      <c r="D924" s="12">
        <v>4</v>
      </c>
    </row>
    <row r="925" spans="1:4" ht="43.2" x14ac:dyDescent="0.3">
      <c r="A925" s="12" t="s">
        <v>39</v>
      </c>
      <c r="B925" s="12" t="s">
        <v>1020</v>
      </c>
      <c r="C925" s="12">
        <v>955</v>
      </c>
      <c r="D925" s="12">
        <v>10</v>
      </c>
    </row>
    <row r="926" spans="1:4" ht="28.8" x14ac:dyDescent="0.3">
      <c r="A926" s="12" t="s">
        <v>39</v>
      </c>
      <c r="B926" s="12" t="s">
        <v>1021</v>
      </c>
      <c r="C926" s="12">
        <v>374</v>
      </c>
      <c r="D926" s="12">
        <v>4</v>
      </c>
    </row>
    <row r="927" spans="1:4" x14ac:dyDescent="0.3">
      <c r="A927" s="12" t="s">
        <v>39</v>
      </c>
      <c r="B927" s="12" t="s">
        <v>1022</v>
      </c>
      <c r="C927" s="12">
        <v>463</v>
      </c>
      <c r="D927" s="12">
        <v>5</v>
      </c>
    </row>
    <row r="928" spans="1:4" ht="28.8" x14ac:dyDescent="0.3">
      <c r="A928" s="12" t="s">
        <v>39</v>
      </c>
      <c r="B928" s="12" t="s">
        <v>1023</v>
      </c>
      <c r="C928" s="12">
        <v>724</v>
      </c>
      <c r="D928" s="12">
        <v>7</v>
      </c>
    </row>
    <row r="929" spans="1:4" ht="43.2" x14ac:dyDescent="0.3">
      <c r="A929" s="12" t="s">
        <v>39</v>
      </c>
      <c r="B929" s="12" t="s">
        <v>1024</v>
      </c>
      <c r="C929" s="12">
        <v>1128</v>
      </c>
      <c r="D929" s="12">
        <v>11</v>
      </c>
    </row>
    <row r="930" spans="1:4" ht="28.8" x14ac:dyDescent="0.3">
      <c r="A930" s="12" t="s">
        <v>39</v>
      </c>
      <c r="B930" s="12" t="s">
        <v>1025</v>
      </c>
      <c r="C930" s="12">
        <v>878</v>
      </c>
      <c r="D930" s="12">
        <v>9</v>
      </c>
    </row>
    <row r="931" spans="1:4" ht="72" x14ac:dyDescent="0.3">
      <c r="A931" s="12" t="s">
        <v>39</v>
      </c>
      <c r="B931" s="12" t="s">
        <v>1026</v>
      </c>
      <c r="C931" s="12">
        <v>604</v>
      </c>
      <c r="D931" s="12">
        <v>6</v>
      </c>
    </row>
    <row r="932" spans="1:4" ht="43.2" x14ac:dyDescent="0.3">
      <c r="A932" s="12" t="s">
        <v>39</v>
      </c>
      <c r="B932" s="12" t="s">
        <v>1027</v>
      </c>
      <c r="C932" s="12">
        <v>707</v>
      </c>
      <c r="D932" s="12">
        <v>7</v>
      </c>
    </row>
    <row r="933" spans="1:4" ht="43.2" x14ac:dyDescent="0.3">
      <c r="A933" s="12" t="s">
        <v>39</v>
      </c>
      <c r="B933" s="12" t="s">
        <v>1028</v>
      </c>
      <c r="C933" s="12">
        <v>1401</v>
      </c>
      <c r="D933" s="12">
        <v>14</v>
      </c>
    </row>
    <row r="934" spans="1:4" x14ac:dyDescent="0.3">
      <c r="A934" s="12" t="s">
        <v>40</v>
      </c>
      <c r="B934" s="12" t="s">
        <v>1029</v>
      </c>
      <c r="C934" s="12">
        <v>378</v>
      </c>
      <c r="D934" s="12">
        <v>4</v>
      </c>
    </row>
    <row r="935" spans="1:4" ht="43.2" x14ac:dyDescent="0.3">
      <c r="A935" s="12" t="s">
        <v>40</v>
      </c>
      <c r="B935" s="12" t="s">
        <v>1030</v>
      </c>
      <c r="C935" s="12">
        <v>589</v>
      </c>
      <c r="D935" s="12">
        <v>6</v>
      </c>
    </row>
    <row r="936" spans="1:4" ht="43.2" x14ac:dyDescent="0.3">
      <c r="A936" s="12" t="s">
        <v>40</v>
      </c>
      <c r="B936" s="12" t="s">
        <v>1031</v>
      </c>
      <c r="C936" s="12">
        <v>1890</v>
      </c>
      <c r="D936" s="12">
        <v>19</v>
      </c>
    </row>
    <row r="937" spans="1:4" ht="43.2" x14ac:dyDescent="0.3">
      <c r="A937" s="12" t="s">
        <v>40</v>
      </c>
      <c r="B937" s="12" t="s">
        <v>1032</v>
      </c>
      <c r="C937" s="12">
        <v>893</v>
      </c>
      <c r="D937" s="12">
        <v>9</v>
      </c>
    </row>
    <row r="938" spans="1:4" ht="43.2" x14ac:dyDescent="0.3">
      <c r="A938" s="12" t="s">
        <v>40</v>
      </c>
      <c r="B938" s="12" t="s">
        <v>1033</v>
      </c>
      <c r="C938" s="12">
        <v>715</v>
      </c>
      <c r="D938" s="12">
        <v>7</v>
      </c>
    </row>
    <row r="939" spans="1:4" ht="43.2" x14ac:dyDescent="0.3">
      <c r="A939" s="12" t="s">
        <v>40</v>
      </c>
      <c r="B939" s="12" t="s">
        <v>1034</v>
      </c>
      <c r="C939" s="12">
        <v>432</v>
      </c>
      <c r="D939" s="12">
        <v>4</v>
      </c>
    </row>
    <row r="940" spans="1:4" ht="43.2" x14ac:dyDescent="0.3">
      <c r="A940" s="12" t="s">
        <v>40</v>
      </c>
      <c r="B940" s="12" t="s">
        <v>1035</v>
      </c>
      <c r="C940" s="12">
        <v>561</v>
      </c>
      <c r="D940" s="12">
        <v>6</v>
      </c>
    </row>
    <row r="941" spans="1:4" ht="43.2" x14ac:dyDescent="0.3">
      <c r="A941" s="12" t="s">
        <v>40</v>
      </c>
      <c r="B941" s="12" t="s">
        <v>1036</v>
      </c>
      <c r="C941" s="12">
        <v>583</v>
      </c>
      <c r="D941" s="12">
        <v>6</v>
      </c>
    </row>
    <row r="942" spans="1:4" ht="57.6" x14ac:dyDescent="0.3">
      <c r="A942" s="12" t="s">
        <v>40</v>
      </c>
      <c r="B942" s="12" t="s">
        <v>1037</v>
      </c>
      <c r="C942" s="12">
        <v>595</v>
      </c>
      <c r="D942" s="12">
        <v>6</v>
      </c>
    </row>
    <row r="943" spans="1:4" ht="43.2" x14ac:dyDescent="0.3">
      <c r="A943" s="12" t="s">
        <v>40</v>
      </c>
      <c r="B943" s="12" t="s">
        <v>1038</v>
      </c>
      <c r="C943" s="12">
        <v>306</v>
      </c>
      <c r="D943" s="12">
        <v>3</v>
      </c>
    </row>
    <row r="944" spans="1:4" ht="43.2" x14ac:dyDescent="0.3">
      <c r="A944" s="12" t="s">
        <v>40</v>
      </c>
      <c r="B944" s="12" t="s">
        <v>1039</v>
      </c>
      <c r="C944" s="12">
        <v>468</v>
      </c>
      <c r="D944" s="12">
        <v>5</v>
      </c>
    </row>
    <row r="945" spans="1:4" ht="43.2" x14ac:dyDescent="0.3">
      <c r="A945" s="12" t="s">
        <v>40</v>
      </c>
      <c r="B945" s="12" t="s">
        <v>1040</v>
      </c>
      <c r="C945" s="12">
        <v>312</v>
      </c>
      <c r="D945" s="12">
        <v>3</v>
      </c>
    </row>
    <row r="946" spans="1:4" ht="43.2" x14ac:dyDescent="0.3">
      <c r="A946" s="12" t="s">
        <v>40</v>
      </c>
      <c r="B946" s="12" t="s">
        <v>1041</v>
      </c>
      <c r="C946" s="12">
        <v>852</v>
      </c>
      <c r="D946" s="12">
        <v>9</v>
      </c>
    </row>
    <row r="947" spans="1:4" ht="72" x14ac:dyDescent="0.3">
      <c r="A947" s="12" t="s">
        <v>40</v>
      </c>
      <c r="B947" s="12" t="s">
        <v>1042</v>
      </c>
      <c r="C947" s="12">
        <v>763</v>
      </c>
      <c r="D947" s="12">
        <v>8</v>
      </c>
    </row>
    <row r="948" spans="1:4" ht="28.8" x14ac:dyDescent="0.3">
      <c r="A948" s="12" t="s">
        <v>40</v>
      </c>
      <c r="B948" s="12" t="s">
        <v>1043</v>
      </c>
      <c r="C948" s="12">
        <v>950</v>
      </c>
      <c r="D948" s="12">
        <v>10</v>
      </c>
    </row>
    <row r="949" spans="1:4" ht="28.8" x14ac:dyDescent="0.3">
      <c r="A949" s="12" t="s">
        <v>40</v>
      </c>
      <c r="B949" s="12" t="s">
        <v>1044</v>
      </c>
      <c r="C949" s="12">
        <v>539</v>
      </c>
      <c r="D949" s="12">
        <v>5</v>
      </c>
    </row>
    <row r="950" spans="1:4" ht="28.8" x14ac:dyDescent="0.3">
      <c r="A950" s="12" t="s">
        <v>40</v>
      </c>
      <c r="B950" s="12" t="s">
        <v>1045</v>
      </c>
      <c r="C950" s="12">
        <v>622</v>
      </c>
      <c r="D950" s="12">
        <v>6</v>
      </c>
    </row>
    <row r="951" spans="1:4" ht="28.8" x14ac:dyDescent="0.3">
      <c r="A951" s="12" t="s">
        <v>40</v>
      </c>
      <c r="B951" s="12" t="s">
        <v>1046</v>
      </c>
      <c r="C951" s="12">
        <v>1325</v>
      </c>
      <c r="D951" s="12">
        <v>13</v>
      </c>
    </row>
    <row r="952" spans="1:4" ht="43.2" x14ac:dyDescent="0.3">
      <c r="A952" s="12" t="s">
        <v>40</v>
      </c>
      <c r="B952" s="12" t="s">
        <v>1047</v>
      </c>
      <c r="C952" s="12">
        <v>331</v>
      </c>
      <c r="D952" s="12">
        <v>3</v>
      </c>
    </row>
    <row r="953" spans="1:4" ht="43.2" x14ac:dyDescent="0.3">
      <c r="A953" s="12" t="s">
        <v>40</v>
      </c>
      <c r="B953" s="12" t="s">
        <v>1048</v>
      </c>
      <c r="C953" s="12">
        <v>1025</v>
      </c>
      <c r="D953" s="12">
        <v>10</v>
      </c>
    </row>
    <row r="954" spans="1:4" x14ac:dyDescent="0.3">
      <c r="A954" s="12" t="s">
        <v>40</v>
      </c>
      <c r="B954" s="12" t="s">
        <v>1049</v>
      </c>
      <c r="C954" s="12">
        <v>646</v>
      </c>
      <c r="D954" s="12">
        <v>6</v>
      </c>
    </row>
    <row r="955" spans="1:4" ht="28.8" x14ac:dyDescent="0.3">
      <c r="A955" s="12" t="s">
        <v>40</v>
      </c>
      <c r="B955" s="12" t="s">
        <v>1050</v>
      </c>
      <c r="C955" s="12">
        <v>888</v>
      </c>
      <c r="D955" s="12">
        <v>9</v>
      </c>
    </row>
    <row r="956" spans="1:4" ht="28.8" x14ac:dyDescent="0.3">
      <c r="A956" s="12" t="s">
        <v>40</v>
      </c>
      <c r="B956" s="12" t="s">
        <v>1051</v>
      </c>
      <c r="C956" s="12">
        <v>347</v>
      </c>
      <c r="D956" s="12">
        <v>3</v>
      </c>
    </row>
    <row r="957" spans="1:4" ht="43.2" x14ac:dyDescent="0.3">
      <c r="A957" s="12" t="s">
        <v>40</v>
      </c>
      <c r="B957" s="12" t="s">
        <v>511</v>
      </c>
      <c r="C957" s="12">
        <v>653</v>
      </c>
      <c r="D957" s="12">
        <v>7</v>
      </c>
    </row>
    <row r="958" spans="1:4" ht="43.2" x14ac:dyDescent="0.3">
      <c r="A958" s="12" t="s">
        <v>40</v>
      </c>
      <c r="B958" s="12" t="s">
        <v>1052</v>
      </c>
      <c r="C958" s="12">
        <v>335</v>
      </c>
      <c r="D958" s="12">
        <v>3</v>
      </c>
    </row>
    <row r="959" spans="1:4" ht="28.8" x14ac:dyDescent="0.3">
      <c r="A959" s="12" t="s">
        <v>40</v>
      </c>
      <c r="B959" s="12" t="s">
        <v>1053</v>
      </c>
      <c r="C959" s="12">
        <v>527</v>
      </c>
      <c r="D959" s="12">
        <v>5</v>
      </c>
    </row>
    <row r="960" spans="1:4" x14ac:dyDescent="0.3">
      <c r="A960" s="12" t="s">
        <v>40</v>
      </c>
      <c r="B960" s="12" t="s">
        <v>1054</v>
      </c>
      <c r="C960" s="12">
        <v>471</v>
      </c>
      <c r="D960" s="12">
        <v>5</v>
      </c>
    </row>
    <row r="961" spans="1:4" ht="43.2" x14ac:dyDescent="0.3">
      <c r="A961" s="12" t="s">
        <v>40</v>
      </c>
      <c r="B961" s="12" t="s">
        <v>1055</v>
      </c>
      <c r="C961" s="12">
        <v>429</v>
      </c>
      <c r="D961" s="12">
        <v>4</v>
      </c>
    </row>
    <row r="962" spans="1:4" ht="43.2" x14ac:dyDescent="0.3">
      <c r="A962" s="12" t="s">
        <v>40</v>
      </c>
      <c r="B962" s="12" t="s">
        <v>1056</v>
      </c>
      <c r="C962" s="12">
        <v>955</v>
      </c>
      <c r="D962" s="12">
        <v>10</v>
      </c>
    </row>
    <row r="963" spans="1:4" ht="43.2" x14ac:dyDescent="0.3">
      <c r="A963" s="12" t="s">
        <v>40</v>
      </c>
      <c r="B963" s="12" t="s">
        <v>1057</v>
      </c>
      <c r="C963" s="12">
        <v>876</v>
      </c>
      <c r="D963" s="12">
        <v>9</v>
      </c>
    </row>
    <row r="964" spans="1:4" ht="28.8" x14ac:dyDescent="0.3">
      <c r="A964" s="12" t="s">
        <v>40</v>
      </c>
      <c r="B964" s="12" t="s">
        <v>1058</v>
      </c>
      <c r="C964" s="12">
        <v>846</v>
      </c>
      <c r="D964" s="12">
        <v>8</v>
      </c>
    </row>
    <row r="965" spans="1:4" ht="28.8" x14ac:dyDescent="0.3">
      <c r="A965" s="12" t="s">
        <v>40</v>
      </c>
      <c r="B965" s="12" t="s">
        <v>548</v>
      </c>
      <c r="C965" s="12">
        <v>719</v>
      </c>
      <c r="D965" s="12">
        <v>7</v>
      </c>
    </row>
    <row r="966" spans="1:4" ht="43.2" x14ac:dyDescent="0.3">
      <c r="A966" s="12" t="s">
        <v>40</v>
      </c>
      <c r="B966" s="12" t="s">
        <v>1059</v>
      </c>
      <c r="C966" s="12">
        <v>813</v>
      </c>
      <c r="D966" s="12">
        <v>8</v>
      </c>
    </row>
    <row r="967" spans="1:4" x14ac:dyDescent="0.3">
      <c r="A967" s="12" t="s">
        <v>40</v>
      </c>
      <c r="B967" s="12" t="s">
        <v>1060</v>
      </c>
      <c r="C967" s="12">
        <v>603</v>
      </c>
      <c r="D967" s="12">
        <v>6</v>
      </c>
    </row>
    <row r="968" spans="1:4" ht="43.2" x14ac:dyDescent="0.3">
      <c r="A968" s="12" t="s">
        <v>40</v>
      </c>
      <c r="B968" s="12" t="s">
        <v>1061</v>
      </c>
      <c r="C968" s="12">
        <v>1647</v>
      </c>
      <c r="D968" s="12">
        <v>16</v>
      </c>
    </row>
    <row r="969" spans="1:4" ht="43.2" x14ac:dyDescent="0.3">
      <c r="A969" s="12" t="s">
        <v>40</v>
      </c>
      <c r="B969" s="12" t="s">
        <v>1062</v>
      </c>
      <c r="C969" s="12">
        <v>1178</v>
      </c>
      <c r="D969" s="12">
        <v>12</v>
      </c>
    </row>
    <row r="970" spans="1:4" ht="43.2" x14ac:dyDescent="0.3">
      <c r="A970" s="12" t="s">
        <v>40</v>
      </c>
      <c r="B970" s="12" t="s">
        <v>723</v>
      </c>
      <c r="C970" s="12">
        <v>883</v>
      </c>
      <c r="D970" s="12">
        <v>9</v>
      </c>
    </row>
    <row r="971" spans="1:4" ht="43.2" x14ac:dyDescent="0.3">
      <c r="A971" s="12" t="s">
        <v>40</v>
      </c>
      <c r="B971" s="12" t="s">
        <v>1063</v>
      </c>
      <c r="C971" s="12">
        <v>1012</v>
      </c>
      <c r="D971" s="12">
        <v>10</v>
      </c>
    </row>
    <row r="972" spans="1:4" ht="28.8" x14ac:dyDescent="0.3">
      <c r="A972" s="12" t="s">
        <v>40</v>
      </c>
      <c r="B972" s="12" t="s">
        <v>1064</v>
      </c>
      <c r="C972" s="12">
        <v>1072</v>
      </c>
      <c r="D972" s="12">
        <v>11</v>
      </c>
    </row>
    <row r="973" spans="1:4" ht="43.2" x14ac:dyDescent="0.3">
      <c r="A973" s="12" t="s">
        <v>40</v>
      </c>
      <c r="B973" s="12" t="s">
        <v>1065</v>
      </c>
      <c r="C973" s="12">
        <v>862</v>
      </c>
      <c r="D973" s="12">
        <v>9</v>
      </c>
    </row>
    <row r="974" spans="1:4" ht="43.2" x14ac:dyDescent="0.3">
      <c r="A974" s="12" t="s">
        <v>40</v>
      </c>
      <c r="B974" s="12" t="s">
        <v>1066</v>
      </c>
      <c r="C974" s="12">
        <v>958</v>
      </c>
      <c r="D974" s="12">
        <v>10</v>
      </c>
    </row>
    <row r="975" spans="1:4" x14ac:dyDescent="0.3">
      <c r="A975" s="12" t="s">
        <v>40</v>
      </c>
      <c r="B975" s="12" t="s">
        <v>1067</v>
      </c>
      <c r="C975" s="12">
        <v>278</v>
      </c>
      <c r="D975" s="12">
        <v>3</v>
      </c>
    </row>
    <row r="976" spans="1:4" x14ac:dyDescent="0.3">
      <c r="A976" s="12" t="s">
        <v>40</v>
      </c>
      <c r="B976" s="12" t="s">
        <v>1068</v>
      </c>
      <c r="C976" s="12">
        <v>547</v>
      </c>
      <c r="D976" s="12">
        <v>5</v>
      </c>
    </row>
    <row r="977" spans="1:4" ht="28.8" x14ac:dyDescent="0.3">
      <c r="A977" s="12" t="s">
        <v>40</v>
      </c>
      <c r="B977" s="12" t="s">
        <v>1069</v>
      </c>
      <c r="C977" s="12">
        <v>897</v>
      </c>
      <c r="D977" s="12">
        <v>9</v>
      </c>
    </row>
    <row r="978" spans="1:4" ht="43.2" x14ac:dyDescent="0.3">
      <c r="A978" s="12" t="s">
        <v>40</v>
      </c>
      <c r="B978" s="12" t="s">
        <v>1070</v>
      </c>
      <c r="C978" s="12">
        <v>685</v>
      </c>
      <c r="D978" s="12">
        <v>7</v>
      </c>
    </row>
    <row r="979" spans="1:4" ht="28.8" x14ac:dyDescent="0.3">
      <c r="A979" s="12" t="s">
        <v>40</v>
      </c>
      <c r="B979" s="12" t="s">
        <v>1071</v>
      </c>
      <c r="C979" s="12">
        <v>452</v>
      </c>
      <c r="D979" s="12">
        <v>5</v>
      </c>
    </row>
    <row r="980" spans="1:4" ht="43.2" x14ac:dyDescent="0.3">
      <c r="A980" s="12" t="s">
        <v>42</v>
      </c>
      <c r="B980" s="12" t="s">
        <v>1072</v>
      </c>
      <c r="C980" s="12">
        <v>540</v>
      </c>
      <c r="D980" s="12">
        <v>5</v>
      </c>
    </row>
    <row r="981" spans="1:4" ht="43.2" x14ac:dyDescent="0.3">
      <c r="A981" s="12" t="s">
        <v>42</v>
      </c>
      <c r="B981" s="12" t="s">
        <v>1073</v>
      </c>
      <c r="C981" s="12">
        <v>189</v>
      </c>
      <c r="D981" s="12">
        <v>2</v>
      </c>
    </row>
    <row r="982" spans="1:4" ht="43.2" x14ac:dyDescent="0.3">
      <c r="A982" s="12" t="s">
        <v>42</v>
      </c>
      <c r="B982" s="12" t="s">
        <v>1074</v>
      </c>
      <c r="C982" s="12">
        <v>630</v>
      </c>
      <c r="D982" s="12">
        <v>6</v>
      </c>
    </row>
    <row r="983" spans="1:4" ht="57.6" x14ac:dyDescent="0.3">
      <c r="A983" s="12" t="s">
        <v>42</v>
      </c>
      <c r="B983" s="12" t="s">
        <v>1075</v>
      </c>
      <c r="C983" s="12">
        <v>307</v>
      </c>
      <c r="D983" s="12">
        <v>3</v>
      </c>
    </row>
    <row r="984" spans="1:4" ht="57.6" x14ac:dyDescent="0.3">
      <c r="A984" s="12" t="s">
        <v>42</v>
      </c>
      <c r="B984" s="12" t="s">
        <v>1076</v>
      </c>
      <c r="C984" s="12">
        <v>356</v>
      </c>
      <c r="D984" s="12">
        <v>4</v>
      </c>
    </row>
    <row r="985" spans="1:4" ht="43.2" x14ac:dyDescent="0.3">
      <c r="A985" s="12" t="s">
        <v>42</v>
      </c>
      <c r="B985" s="12" t="s">
        <v>1077</v>
      </c>
      <c r="C985" s="12">
        <v>251</v>
      </c>
      <c r="D985" s="12">
        <v>3</v>
      </c>
    </row>
    <row r="986" spans="1:4" ht="28.8" x14ac:dyDescent="0.3">
      <c r="A986" s="12" t="s">
        <v>43</v>
      </c>
      <c r="B986" s="12" t="s">
        <v>1078</v>
      </c>
      <c r="C986" s="12">
        <v>502</v>
      </c>
      <c r="D986" s="12">
        <v>5</v>
      </c>
    </row>
    <row r="987" spans="1:4" ht="28.8" x14ac:dyDescent="0.3">
      <c r="A987" s="12" t="s">
        <v>43</v>
      </c>
      <c r="B987" s="12" t="s">
        <v>1079</v>
      </c>
      <c r="C987" s="12">
        <v>206</v>
      </c>
      <c r="D987" s="12">
        <v>2</v>
      </c>
    </row>
    <row r="988" spans="1:4" ht="28.8" x14ac:dyDescent="0.3">
      <c r="A988" s="12" t="s">
        <v>43</v>
      </c>
      <c r="B988" s="12" t="s">
        <v>1080</v>
      </c>
      <c r="C988" s="12">
        <v>57</v>
      </c>
      <c r="D988" s="12">
        <v>1</v>
      </c>
    </row>
    <row r="989" spans="1:4" ht="28.8" x14ac:dyDescent="0.3">
      <c r="A989" s="12" t="s">
        <v>43</v>
      </c>
      <c r="B989" s="12" t="s">
        <v>1081</v>
      </c>
      <c r="C989" s="12">
        <v>379</v>
      </c>
      <c r="D989" s="12">
        <v>4</v>
      </c>
    </row>
    <row r="990" spans="1:4" ht="28.8" x14ac:dyDescent="0.3">
      <c r="A990" s="12" t="s">
        <v>44</v>
      </c>
      <c r="B990" s="12" t="s">
        <v>1082</v>
      </c>
      <c r="C990" s="12">
        <v>593</v>
      </c>
      <c r="D990" s="12">
        <v>6</v>
      </c>
    </row>
    <row r="991" spans="1:4" x14ac:dyDescent="0.3">
      <c r="A991" s="12" t="s">
        <v>44</v>
      </c>
      <c r="B991" s="12" t="s">
        <v>1083</v>
      </c>
      <c r="C991" s="12">
        <v>541</v>
      </c>
      <c r="D991" s="12">
        <v>5</v>
      </c>
    </row>
    <row r="992" spans="1:4" ht="28.8" x14ac:dyDescent="0.3">
      <c r="A992" s="12" t="s">
        <v>44</v>
      </c>
      <c r="B992" s="12" t="s">
        <v>1084</v>
      </c>
      <c r="C992" s="12">
        <v>1134</v>
      </c>
      <c r="D992" s="12">
        <v>11</v>
      </c>
    </row>
    <row r="993" spans="1:4" ht="28.8" x14ac:dyDescent="0.3">
      <c r="A993" s="12" t="s">
        <v>44</v>
      </c>
      <c r="B993" s="12" t="s">
        <v>1085</v>
      </c>
      <c r="C993" s="12">
        <v>732</v>
      </c>
      <c r="D993" s="12">
        <v>7</v>
      </c>
    </row>
    <row r="994" spans="1:4" x14ac:dyDescent="0.3">
      <c r="A994" s="12" t="s">
        <v>44</v>
      </c>
      <c r="B994" s="12" t="s">
        <v>1086</v>
      </c>
      <c r="C994" s="12">
        <v>912</v>
      </c>
      <c r="D994" s="12">
        <v>9</v>
      </c>
    </row>
    <row r="995" spans="1:4" ht="43.2" x14ac:dyDescent="0.3">
      <c r="A995" s="12" t="s">
        <v>44</v>
      </c>
      <c r="B995" s="12" t="s">
        <v>1087</v>
      </c>
      <c r="C995" s="12">
        <v>1696</v>
      </c>
      <c r="D995" s="12">
        <v>17</v>
      </c>
    </row>
    <row r="996" spans="1:4" ht="28.8" x14ac:dyDescent="0.3">
      <c r="A996" s="12" t="s">
        <v>44</v>
      </c>
      <c r="B996" s="12" t="s">
        <v>1088</v>
      </c>
      <c r="C996" s="12">
        <v>1032</v>
      </c>
      <c r="D996" s="12">
        <v>10</v>
      </c>
    </row>
    <row r="997" spans="1:4" ht="28.8" x14ac:dyDescent="0.3">
      <c r="A997" s="12" t="s">
        <v>44</v>
      </c>
      <c r="B997" s="12" t="s">
        <v>1089</v>
      </c>
      <c r="C997" s="12">
        <v>1341</v>
      </c>
      <c r="D997" s="12">
        <v>13</v>
      </c>
    </row>
    <row r="998" spans="1:4" ht="28.8" x14ac:dyDescent="0.3">
      <c r="A998" s="12" t="s">
        <v>44</v>
      </c>
      <c r="B998" s="12" t="s">
        <v>1090</v>
      </c>
      <c r="C998" s="12">
        <v>445</v>
      </c>
      <c r="D998" s="12">
        <v>4</v>
      </c>
    </row>
    <row r="999" spans="1:4" x14ac:dyDescent="0.3">
      <c r="A999" s="12" t="s">
        <v>44</v>
      </c>
      <c r="B999" s="12" t="s">
        <v>387</v>
      </c>
      <c r="C999" s="12">
        <v>678</v>
      </c>
      <c r="D999" s="12">
        <v>7</v>
      </c>
    </row>
    <row r="1000" spans="1:4" ht="43.2" x14ac:dyDescent="0.3">
      <c r="A1000" s="12" t="s">
        <v>44</v>
      </c>
      <c r="B1000" s="12" t="s">
        <v>1091</v>
      </c>
      <c r="C1000" s="12">
        <v>601</v>
      </c>
      <c r="D1000" s="12">
        <v>6</v>
      </c>
    </row>
    <row r="1001" spans="1:4" ht="28.8" x14ac:dyDescent="0.3">
      <c r="A1001" s="12" t="s">
        <v>44</v>
      </c>
      <c r="B1001" s="12" t="s">
        <v>1092</v>
      </c>
      <c r="C1001" s="12">
        <v>853</v>
      </c>
      <c r="D1001" s="12">
        <v>9</v>
      </c>
    </row>
    <row r="1002" spans="1:4" ht="28.8" x14ac:dyDescent="0.3">
      <c r="A1002" s="12" t="s">
        <v>44</v>
      </c>
      <c r="B1002" s="12" t="s">
        <v>1093</v>
      </c>
      <c r="C1002" s="12">
        <v>987</v>
      </c>
      <c r="D1002" s="12">
        <v>10</v>
      </c>
    </row>
    <row r="1003" spans="1:4" ht="43.2" x14ac:dyDescent="0.3">
      <c r="A1003" s="12" t="s">
        <v>44</v>
      </c>
      <c r="B1003" s="12" t="s">
        <v>1094</v>
      </c>
      <c r="C1003" s="12">
        <v>717</v>
      </c>
      <c r="D1003" s="12">
        <v>7</v>
      </c>
    </row>
    <row r="1004" spans="1:4" ht="28.8" x14ac:dyDescent="0.3">
      <c r="A1004" s="12" t="s">
        <v>44</v>
      </c>
      <c r="B1004" s="12" t="s">
        <v>1095</v>
      </c>
      <c r="C1004" s="12">
        <v>1266</v>
      </c>
      <c r="D1004" s="12">
        <v>13</v>
      </c>
    </row>
    <row r="1005" spans="1:4" x14ac:dyDescent="0.3">
      <c r="A1005" s="12" t="s">
        <v>45</v>
      </c>
      <c r="B1005" s="12" t="s">
        <v>1096</v>
      </c>
      <c r="C1005" s="12">
        <v>374</v>
      </c>
      <c r="D1005" s="12">
        <v>4</v>
      </c>
    </row>
    <row r="1006" spans="1:4" ht="28.8" x14ac:dyDescent="0.3">
      <c r="A1006" s="12" t="s">
        <v>45</v>
      </c>
      <c r="B1006" s="12" t="s">
        <v>1097</v>
      </c>
      <c r="C1006" s="12">
        <v>280</v>
      </c>
      <c r="D1006" s="12">
        <v>3</v>
      </c>
    </row>
    <row r="1007" spans="1:4" ht="28.8" x14ac:dyDescent="0.3">
      <c r="A1007" s="12" t="s">
        <v>45</v>
      </c>
      <c r="B1007" s="12" t="s">
        <v>1098</v>
      </c>
      <c r="C1007" s="12">
        <v>270</v>
      </c>
      <c r="D1007" s="12">
        <v>3</v>
      </c>
    </row>
    <row r="1008" spans="1:4" ht="43.2" x14ac:dyDescent="0.3">
      <c r="A1008" s="12" t="s">
        <v>45</v>
      </c>
      <c r="B1008" s="12" t="s">
        <v>1099</v>
      </c>
      <c r="C1008" s="12">
        <v>190</v>
      </c>
      <c r="D1008" s="12">
        <v>2</v>
      </c>
    </row>
    <row r="1009" spans="1:4" ht="43.2" x14ac:dyDescent="0.3">
      <c r="A1009" s="12" t="s">
        <v>45</v>
      </c>
      <c r="B1009" s="12" t="s">
        <v>1100</v>
      </c>
      <c r="C1009" s="12">
        <v>237</v>
      </c>
      <c r="D1009" s="12">
        <v>2</v>
      </c>
    </row>
    <row r="1010" spans="1:4" x14ac:dyDescent="0.3">
      <c r="A1010" s="12" t="s">
        <v>45</v>
      </c>
      <c r="B1010" s="12" t="s">
        <v>1101</v>
      </c>
      <c r="C1010" s="12">
        <v>579</v>
      </c>
      <c r="D1010" s="12">
        <v>6</v>
      </c>
    </row>
    <row r="1011" spans="1:4" x14ac:dyDescent="0.3">
      <c r="A1011" s="12" t="s">
        <v>45</v>
      </c>
      <c r="B1011" s="12" t="s">
        <v>1102</v>
      </c>
      <c r="C1011" s="12">
        <v>412</v>
      </c>
      <c r="D1011" s="12">
        <v>4</v>
      </c>
    </row>
    <row r="1012" spans="1:4" ht="28.8" x14ac:dyDescent="0.3">
      <c r="A1012" s="12" t="s">
        <v>45</v>
      </c>
      <c r="B1012" s="12" t="s">
        <v>1103</v>
      </c>
      <c r="C1012" s="12">
        <v>615</v>
      </c>
      <c r="D1012" s="12">
        <v>6</v>
      </c>
    </row>
    <row r="1013" spans="1:4" x14ac:dyDescent="0.3">
      <c r="A1013" s="12" t="s">
        <v>45</v>
      </c>
      <c r="B1013" s="12" t="s">
        <v>1104</v>
      </c>
      <c r="C1013" s="12">
        <v>320</v>
      </c>
      <c r="D1013" s="12">
        <v>3</v>
      </c>
    </row>
    <row r="1014" spans="1:4" ht="43.2" x14ac:dyDescent="0.3">
      <c r="A1014" s="12" t="s">
        <v>45</v>
      </c>
      <c r="B1014" s="12" t="s">
        <v>1105</v>
      </c>
      <c r="C1014" s="12">
        <v>325</v>
      </c>
      <c r="D1014" s="12">
        <v>3</v>
      </c>
    </row>
    <row r="1015" spans="1:4" x14ac:dyDescent="0.3">
      <c r="A1015" s="12" t="s">
        <v>46</v>
      </c>
      <c r="B1015" s="12" t="s">
        <v>1106</v>
      </c>
      <c r="C1015" s="12">
        <v>1138</v>
      </c>
      <c r="D1015" s="12">
        <v>11</v>
      </c>
    </row>
    <row r="1016" spans="1:4" x14ac:dyDescent="0.3">
      <c r="A1016" s="12" t="s">
        <v>46</v>
      </c>
      <c r="B1016" s="12" t="s">
        <v>1107</v>
      </c>
      <c r="C1016" s="12">
        <v>871</v>
      </c>
      <c r="D1016" s="12">
        <v>9</v>
      </c>
    </row>
    <row r="1017" spans="1:4" x14ac:dyDescent="0.3">
      <c r="A1017" s="12" t="s">
        <v>46</v>
      </c>
      <c r="B1017" s="12" t="s">
        <v>1108</v>
      </c>
      <c r="C1017" s="12">
        <v>779</v>
      </c>
      <c r="D1017" s="12">
        <v>8</v>
      </c>
    </row>
    <row r="1018" spans="1:4" x14ac:dyDescent="0.3">
      <c r="A1018" s="12" t="s">
        <v>46</v>
      </c>
      <c r="B1018" s="12" t="s">
        <v>1109</v>
      </c>
      <c r="C1018" s="12">
        <v>1258</v>
      </c>
      <c r="D1018" s="12">
        <v>13</v>
      </c>
    </row>
    <row r="1019" spans="1:4" x14ac:dyDescent="0.3">
      <c r="A1019" s="12" t="s">
        <v>46</v>
      </c>
      <c r="B1019" s="12" t="s">
        <v>1110</v>
      </c>
      <c r="C1019" s="12">
        <v>1996</v>
      </c>
      <c r="D1019" s="12">
        <v>20</v>
      </c>
    </row>
    <row r="1020" spans="1:4" x14ac:dyDescent="0.3">
      <c r="A1020" s="12" t="s">
        <v>46</v>
      </c>
      <c r="B1020" s="12" t="s">
        <v>1111</v>
      </c>
      <c r="C1020" s="12">
        <v>563</v>
      </c>
      <c r="D1020" s="12">
        <v>6</v>
      </c>
    </row>
    <row r="1021" spans="1:4" x14ac:dyDescent="0.3">
      <c r="A1021" s="12" t="s">
        <v>46</v>
      </c>
      <c r="B1021" s="12" t="s">
        <v>1112</v>
      </c>
      <c r="C1021" s="12">
        <v>1868</v>
      </c>
      <c r="D1021" s="12">
        <v>19</v>
      </c>
    </row>
    <row r="1022" spans="1:4" x14ac:dyDescent="0.3">
      <c r="A1022" s="12" t="s">
        <v>46</v>
      </c>
      <c r="B1022" s="12" t="s">
        <v>1113</v>
      </c>
      <c r="C1022" s="12">
        <v>830</v>
      </c>
      <c r="D1022" s="12">
        <v>8</v>
      </c>
    </row>
    <row r="1023" spans="1:4" x14ac:dyDescent="0.3">
      <c r="A1023" s="12" t="s">
        <v>46</v>
      </c>
      <c r="B1023" s="12" t="s">
        <v>1114</v>
      </c>
      <c r="C1023" s="12">
        <v>687</v>
      </c>
      <c r="D1023" s="12">
        <v>7</v>
      </c>
    </row>
    <row r="1024" spans="1:4" x14ac:dyDescent="0.3">
      <c r="A1024" s="12" t="s">
        <v>46</v>
      </c>
      <c r="B1024" s="12" t="s">
        <v>1115</v>
      </c>
      <c r="C1024" s="12">
        <v>561</v>
      </c>
      <c r="D1024" s="12">
        <v>6</v>
      </c>
    </row>
    <row r="1025" spans="1:4" x14ac:dyDescent="0.3">
      <c r="A1025" s="12" t="s">
        <v>46</v>
      </c>
      <c r="B1025" s="12" t="s">
        <v>1116</v>
      </c>
      <c r="C1025" s="12">
        <v>775</v>
      </c>
      <c r="D1025" s="12">
        <v>8</v>
      </c>
    </row>
    <row r="1026" spans="1:4" x14ac:dyDescent="0.3">
      <c r="A1026" s="12" t="s">
        <v>46</v>
      </c>
      <c r="B1026" s="12" t="s">
        <v>1117</v>
      </c>
      <c r="C1026" s="12">
        <v>470</v>
      </c>
      <c r="D1026" s="12">
        <v>5</v>
      </c>
    </row>
    <row r="1027" spans="1:4" x14ac:dyDescent="0.3">
      <c r="A1027" s="12" t="s">
        <v>46</v>
      </c>
      <c r="B1027" s="12" t="s">
        <v>1118</v>
      </c>
      <c r="C1027" s="12">
        <v>811</v>
      </c>
      <c r="D1027" s="12">
        <v>8</v>
      </c>
    </row>
    <row r="1028" spans="1:4" x14ac:dyDescent="0.3">
      <c r="A1028" s="12" t="s">
        <v>46</v>
      </c>
      <c r="B1028" s="12" t="s">
        <v>1119</v>
      </c>
      <c r="C1028" s="12">
        <v>598</v>
      </c>
      <c r="D1028" s="12">
        <v>6</v>
      </c>
    </row>
    <row r="1029" spans="1:4" x14ac:dyDescent="0.3">
      <c r="A1029" s="12" t="s">
        <v>46</v>
      </c>
      <c r="B1029" s="12" t="s">
        <v>1120</v>
      </c>
      <c r="C1029" s="12">
        <v>1249</v>
      </c>
      <c r="D1029" s="12">
        <v>12</v>
      </c>
    </row>
    <row r="1030" spans="1:4" x14ac:dyDescent="0.3">
      <c r="A1030" s="12" t="s">
        <v>46</v>
      </c>
      <c r="B1030" s="12" t="s">
        <v>1121</v>
      </c>
      <c r="C1030" s="12">
        <v>1140</v>
      </c>
      <c r="D1030" s="12">
        <v>11</v>
      </c>
    </row>
    <row r="1031" spans="1:4" x14ac:dyDescent="0.3">
      <c r="A1031" s="12" t="s">
        <v>46</v>
      </c>
      <c r="B1031" s="12" t="s">
        <v>1122</v>
      </c>
      <c r="C1031" s="12">
        <v>1013</v>
      </c>
      <c r="D1031" s="12">
        <v>10</v>
      </c>
    </row>
    <row r="1032" spans="1:4" x14ac:dyDescent="0.3">
      <c r="A1032" s="12" t="s">
        <v>46</v>
      </c>
      <c r="B1032" s="12" t="s">
        <v>1123</v>
      </c>
      <c r="C1032" s="12">
        <v>1022</v>
      </c>
      <c r="D1032" s="12">
        <v>10</v>
      </c>
    </row>
    <row r="1033" spans="1:4" x14ac:dyDescent="0.3">
      <c r="A1033" s="12" t="s">
        <v>46</v>
      </c>
      <c r="B1033" s="12" t="s">
        <v>1124</v>
      </c>
      <c r="C1033" s="12">
        <v>944</v>
      </c>
      <c r="D1033" s="12">
        <v>9</v>
      </c>
    </row>
    <row r="1034" spans="1:4" x14ac:dyDescent="0.3">
      <c r="A1034" s="12" t="s">
        <v>46</v>
      </c>
      <c r="B1034" s="12" t="s">
        <v>1125</v>
      </c>
      <c r="C1034" s="12">
        <v>1221</v>
      </c>
      <c r="D1034" s="12">
        <v>12</v>
      </c>
    </row>
    <row r="1035" spans="1:4" x14ac:dyDescent="0.3">
      <c r="A1035" s="12" t="s">
        <v>46</v>
      </c>
      <c r="B1035" s="12" t="s">
        <v>1126</v>
      </c>
      <c r="C1035" s="12">
        <v>1623</v>
      </c>
      <c r="D1035" s="12">
        <v>16</v>
      </c>
    </row>
    <row r="1036" spans="1:4" x14ac:dyDescent="0.3">
      <c r="A1036" s="12" t="s">
        <v>46</v>
      </c>
      <c r="B1036" s="12" t="s">
        <v>1127</v>
      </c>
      <c r="C1036" s="12">
        <v>1523</v>
      </c>
      <c r="D1036" s="12">
        <v>15</v>
      </c>
    </row>
    <row r="1037" spans="1:4" x14ac:dyDescent="0.3">
      <c r="A1037" s="12" t="s">
        <v>46</v>
      </c>
      <c r="B1037" s="12" t="s">
        <v>1128</v>
      </c>
      <c r="C1037" s="12">
        <v>900</v>
      </c>
      <c r="D1037" s="12">
        <v>9</v>
      </c>
    </row>
    <row r="1038" spans="1:4" x14ac:dyDescent="0.3">
      <c r="A1038" s="12" t="s">
        <v>46</v>
      </c>
      <c r="B1038" s="12" t="s">
        <v>1129</v>
      </c>
      <c r="C1038" s="12">
        <v>717</v>
      </c>
      <c r="D1038" s="12">
        <v>7</v>
      </c>
    </row>
    <row r="1039" spans="1:4" x14ac:dyDescent="0.3">
      <c r="A1039" s="12" t="s">
        <v>46</v>
      </c>
      <c r="B1039" s="12" t="s">
        <v>1130</v>
      </c>
      <c r="C1039" s="12">
        <v>871</v>
      </c>
      <c r="D1039" s="12">
        <v>9</v>
      </c>
    </row>
    <row r="1040" spans="1:4" x14ac:dyDescent="0.3">
      <c r="A1040" s="12" t="s">
        <v>46</v>
      </c>
      <c r="B1040" s="12" t="s">
        <v>1131</v>
      </c>
      <c r="C1040" s="12">
        <v>732</v>
      </c>
      <c r="D1040" s="12">
        <v>7</v>
      </c>
    </row>
    <row r="1041" spans="1:4" x14ac:dyDescent="0.3">
      <c r="A1041" s="12" t="s">
        <v>46</v>
      </c>
      <c r="B1041" s="12" t="s">
        <v>1132</v>
      </c>
      <c r="C1041" s="12">
        <v>819</v>
      </c>
      <c r="D1041" s="12">
        <v>8</v>
      </c>
    </row>
    <row r="1042" spans="1:4" x14ac:dyDescent="0.3">
      <c r="A1042" s="12" t="s">
        <v>46</v>
      </c>
      <c r="B1042" s="12" t="s">
        <v>1133</v>
      </c>
      <c r="C1042" s="12">
        <v>769</v>
      </c>
      <c r="D1042" s="12">
        <v>8</v>
      </c>
    </row>
    <row r="1043" spans="1:4" x14ac:dyDescent="0.3">
      <c r="A1043" s="12" t="s">
        <v>46</v>
      </c>
      <c r="B1043" s="12" t="s">
        <v>1134</v>
      </c>
      <c r="C1043" s="12">
        <v>758</v>
      </c>
      <c r="D1043" s="12">
        <v>8</v>
      </c>
    </row>
    <row r="1044" spans="1:4" x14ac:dyDescent="0.3">
      <c r="A1044" s="12" t="s">
        <v>46</v>
      </c>
      <c r="B1044" s="12" t="s">
        <v>1135</v>
      </c>
      <c r="C1044" s="12">
        <v>571</v>
      </c>
      <c r="D1044" s="12">
        <v>6</v>
      </c>
    </row>
    <row r="1045" spans="1:4" x14ac:dyDescent="0.3">
      <c r="A1045" s="12" t="s">
        <v>46</v>
      </c>
      <c r="B1045" s="12" t="s">
        <v>1136</v>
      </c>
      <c r="C1045" s="12">
        <v>672</v>
      </c>
      <c r="D1045" s="12">
        <v>7</v>
      </c>
    </row>
    <row r="1046" spans="1:4" x14ac:dyDescent="0.3">
      <c r="A1046" s="12" t="s">
        <v>46</v>
      </c>
      <c r="B1046" s="12" t="s">
        <v>1137</v>
      </c>
      <c r="C1046" s="12">
        <v>1064</v>
      </c>
      <c r="D1046" s="12">
        <v>11</v>
      </c>
    </row>
    <row r="1047" spans="1:4" x14ac:dyDescent="0.3">
      <c r="A1047" s="12" t="s">
        <v>46</v>
      </c>
      <c r="B1047" s="12" t="s">
        <v>1138</v>
      </c>
      <c r="C1047" s="12">
        <v>1516</v>
      </c>
      <c r="D1047" s="12">
        <v>15</v>
      </c>
    </row>
    <row r="1048" spans="1:4" x14ac:dyDescent="0.3">
      <c r="A1048" s="12" t="s">
        <v>46</v>
      </c>
      <c r="B1048" s="12" t="s">
        <v>1139</v>
      </c>
      <c r="C1048" s="12">
        <v>728</v>
      </c>
      <c r="D1048" s="12">
        <v>7</v>
      </c>
    </row>
    <row r="1049" spans="1:4" x14ac:dyDescent="0.3">
      <c r="A1049" s="12" t="s">
        <v>46</v>
      </c>
      <c r="B1049" s="12" t="s">
        <v>1140</v>
      </c>
      <c r="C1049" s="12">
        <v>668</v>
      </c>
      <c r="D1049" s="12">
        <v>7</v>
      </c>
    </row>
    <row r="1050" spans="1:4" x14ac:dyDescent="0.3">
      <c r="A1050" s="12" t="s">
        <v>46</v>
      </c>
      <c r="B1050" s="12" t="s">
        <v>1141</v>
      </c>
      <c r="C1050" s="12">
        <v>672</v>
      </c>
      <c r="D1050" s="12">
        <v>7</v>
      </c>
    </row>
    <row r="1051" spans="1:4" x14ac:dyDescent="0.3">
      <c r="A1051" s="12" t="s">
        <v>46</v>
      </c>
      <c r="B1051" s="12" t="s">
        <v>1142</v>
      </c>
      <c r="C1051" s="12">
        <v>953</v>
      </c>
      <c r="D1051" s="12">
        <v>10</v>
      </c>
    </row>
    <row r="1052" spans="1:4" x14ac:dyDescent="0.3">
      <c r="A1052" s="12" t="s">
        <v>46</v>
      </c>
      <c r="B1052" s="12" t="s">
        <v>1143</v>
      </c>
      <c r="C1052" s="12">
        <v>1777</v>
      </c>
      <c r="D1052" s="12">
        <v>18</v>
      </c>
    </row>
    <row r="1053" spans="1:4" x14ac:dyDescent="0.3">
      <c r="A1053" s="12" t="s">
        <v>46</v>
      </c>
      <c r="B1053" s="12" t="s">
        <v>1144</v>
      </c>
      <c r="C1053" s="12">
        <v>1291</v>
      </c>
      <c r="D1053" s="12">
        <v>13</v>
      </c>
    </row>
    <row r="1054" spans="1:4" x14ac:dyDescent="0.3">
      <c r="A1054" s="12" t="s">
        <v>46</v>
      </c>
      <c r="B1054" s="12" t="s">
        <v>1145</v>
      </c>
      <c r="C1054" s="12">
        <v>557</v>
      </c>
      <c r="D1054" s="12">
        <v>6</v>
      </c>
    </row>
    <row r="1055" spans="1:4" x14ac:dyDescent="0.3">
      <c r="A1055" s="12" t="s">
        <v>46</v>
      </c>
      <c r="B1055" s="12" t="s">
        <v>1146</v>
      </c>
      <c r="C1055" s="12">
        <v>818</v>
      </c>
      <c r="D1055" s="12">
        <v>8</v>
      </c>
    </row>
    <row r="1056" spans="1:4" x14ac:dyDescent="0.3">
      <c r="A1056" s="12" t="s">
        <v>46</v>
      </c>
      <c r="B1056" s="12" t="s">
        <v>1147</v>
      </c>
      <c r="C1056" s="12">
        <v>697</v>
      </c>
      <c r="D1056" s="12">
        <v>7</v>
      </c>
    </row>
    <row r="1057" spans="1:4" x14ac:dyDescent="0.3">
      <c r="A1057" s="12" t="s">
        <v>46</v>
      </c>
      <c r="B1057" s="12" t="s">
        <v>1148</v>
      </c>
      <c r="C1057" s="12">
        <v>675</v>
      </c>
      <c r="D1057" s="12">
        <v>7</v>
      </c>
    </row>
    <row r="1058" spans="1:4" x14ac:dyDescent="0.3">
      <c r="A1058" s="12" t="s">
        <v>46</v>
      </c>
      <c r="B1058" s="12" t="s">
        <v>1149</v>
      </c>
      <c r="C1058" s="12">
        <v>1145</v>
      </c>
      <c r="D1058" s="12">
        <v>11</v>
      </c>
    </row>
    <row r="1059" spans="1:4" x14ac:dyDescent="0.3">
      <c r="A1059" s="12" t="s">
        <v>46</v>
      </c>
      <c r="B1059" s="12" t="s">
        <v>1150</v>
      </c>
      <c r="C1059" s="12">
        <v>750</v>
      </c>
      <c r="D1059" s="12">
        <v>8</v>
      </c>
    </row>
    <row r="1060" spans="1:4" x14ac:dyDescent="0.3">
      <c r="A1060" s="12" t="s">
        <v>46</v>
      </c>
      <c r="B1060" s="12" t="s">
        <v>1151</v>
      </c>
      <c r="C1060" s="12">
        <v>863</v>
      </c>
      <c r="D1060" s="12">
        <v>9</v>
      </c>
    </row>
    <row r="1061" spans="1:4" x14ac:dyDescent="0.3">
      <c r="A1061" s="12" t="s">
        <v>46</v>
      </c>
      <c r="B1061" s="12" t="s">
        <v>1152</v>
      </c>
      <c r="C1061" s="12">
        <v>655</v>
      </c>
      <c r="D1061" s="12">
        <v>7</v>
      </c>
    </row>
    <row r="1062" spans="1:4" x14ac:dyDescent="0.3">
      <c r="A1062" s="12" t="s">
        <v>46</v>
      </c>
      <c r="B1062" s="12" t="s">
        <v>1153</v>
      </c>
      <c r="C1062" s="12">
        <v>936</v>
      </c>
      <c r="D1062" s="12">
        <v>9</v>
      </c>
    </row>
    <row r="1063" spans="1:4" x14ac:dyDescent="0.3">
      <c r="A1063" s="12" t="s">
        <v>46</v>
      </c>
      <c r="B1063" s="12" t="s">
        <v>1154</v>
      </c>
      <c r="C1063" s="12">
        <v>1375</v>
      </c>
      <c r="D1063" s="12">
        <v>14</v>
      </c>
    </row>
    <row r="1064" spans="1:4" x14ac:dyDescent="0.3">
      <c r="A1064" s="12" t="s">
        <v>46</v>
      </c>
      <c r="B1064" s="12" t="s">
        <v>1155</v>
      </c>
      <c r="C1064" s="12">
        <v>1175</v>
      </c>
      <c r="D1064" s="12">
        <v>12</v>
      </c>
    </row>
    <row r="1065" spans="1:4" x14ac:dyDescent="0.3">
      <c r="A1065" s="12" t="s">
        <v>46</v>
      </c>
      <c r="B1065" s="12" t="s">
        <v>1156</v>
      </c>
      <c r="C1065" s="12">
        <v>772</v>
      </c>
      <c r="D1065" s="12">
        <v>8</v>
      </c>
    </row>
    <row r="1066" spans="1:4" x14ac:dyDescent="0.3">
      <c r="A1066" s="12" t="s">
        <v>46</v>
      </c>
      <c r="B1066" s="12" t="s">
        <v>1157</v>
      </c>
      <c r="C1066" s="12">
        <v>736</v>
      </c>
      <c r="D1066" s="12">
        <v>7</v>
      </c>
    </row>
    <row r="1067" spans="1:4" x14ac:dyDescent="0.3">
      <c r="A1067" s="12" t="s">
        <v>46</v>
      </c>
      <c r="B1067" s="12" t="s">
        <v>1158</v>
      </c>
      <c r="C1067" s="12">
        <v>554</v>
      </c>
      <c r="D1067" s="12">
        <v>6</v>
      </c>
    </row>
    <row r="1068" spans="1:4" x14ac:dyDescent="0.3">
      <c r="A1068" s="12" t="s">
        <v>46</v>
      </c>
      <c r="B1068" s="12" t="s">
        <v>1159</v>
      </c>
      <c r="C1068" s="12">
        <v>642</v>
      </c>
      <c r="D1068" s="12">
        <v>6</v>
      </c>
    </row>
    <row r="1069" spans="1:4" x14ac:dyDescent="0.3">
      <c r="A1069" s="12" t="s">
        <v>46</v>
      </c>
      <c r="B1069" s="12" t="s">
        <v>1160</v>
      </c>
      <c r="C1069" s="12">
        <v>683</v>
      </c>
      <c r="D1069" s="12">
        <v>7</v>
      </c>
    </row>
    <row r="1070" spans="1:4" x14ac:dyDescent="0.3">
      <c r="A1070" s="12" t="s">
        <v>46</v>
      </c>
      <c r="B1070" s="12" t="s">
        <v>1161</v>
      </c>
      <c r="C1070" s="12">
        <v>781</v>
      </c>
      <c r="D1070" s="12">
        <v>8</v>
      </c>
    </row>
    <row r="1071" spans="1:4" x14ac:dyDescent="0.3">
      <c r="A1071" s="12" t="s">
        <v>46</v>
      </c>
      <c r="B1071" s="12" t="s">
        <v>1162</v>
      </c>
      <c r="C1071" s="12">
        <v>863</v>
      </c>
      <c r="D1071" s="12">
        <v>9</v>
      </c>
    </row>
    <row r="1072" spans="1:4" x14ac:dyDescent="0.3">
      <c r="A1072" s="12" t="s">
        <v>46</v>
      </c>
      <c r="B1072" s="12" t="s">
        <v>1163</v>
      </c>
      <c r="C1072" s="12">
        <v>269</v>
      </c>
      <c r="D1072" s="12">
        <v>3</v>
      </c>
    </row>
    <row r="1073" spans="1:4" x14ac:dyDescent="0.3">
      <c r="A1073" s="12" t="s">
        <v>46</v>
      </c>
      <c r="B1073" s="12" t="s">
        <v>1164</v>
      </c>
      <c r="C1073" s="12">
        <v>1368</v>
      </c>
      <c r="D1073" s="12">
        <v>14</v>
      </c>
    </row>
    <row r="1074" spans="1:4" x14ac:dyDescent="0.3">
      <c r="A1074" s="12" t="s">
        <v>46</v>
      </c>
      <c r="B1074" s="12" t="s">
        <v>1165</v>
      </c>
      <c r="C1074" s="12">
        <v>1341</v>
      </c>
      <c r="D1074" s="12">
        <v>13</v>
      </c>
    </row>
    <row r="1075" spans="1:4" x14ac:dyDescent="0.3">
      <c r="A1075" s="12" t="s">
        <v>46</v>
      </c>
      <c r="B1075" s="12" t="s">
        <v>1166</v>
      </c>
      <c r="C1075" s="12">
        <v>2344</v>
      </c>
      <c r="D1075" s="12">
        <v>23</v>
      </c>
    </row>
    <row r="1076" spans="1:4" x14ac:dyDescent="0.3">
      <c r="A1076" s="12" t="s">
        <v>46</v>
      </c>
      <c r="B1076" s="12" t="s">
        <v>1167</v>
      </c>
      <c r="C1076" s="12">
        <v>1757</v>
      </c>
      <c r="D1076" s="12">
        <v>18</v>
      </c>
    </row>
    <row r="1077" spans="1:4" x14ac:dyDescent="0.3">
      <c r="A1077" s="12" t="s">
        <v>46</v>
      </c>
      <c r="B1077" s="12" t="s">
        <v>1168</v>
      </c>
      <c r="C1077" s="12">
        <v>1511</v>
      </c>
      <c r="D1077" s="12">
        <v>15</v>
      </c>
    </row>
    <row r="1078" spans="1:4" x14ac:dyDescent="0.3">
      <c r="A1078" s="12" t="s">
        <v>46</v>
      </c>
      <c r="B1078" s="12" t="s">
        <v>1169</v>
      </c>
      <c r="C1078" s="12">
        <v>1751</v>
      </c>
      <c r="D1078" s="12">
        <v>18</v>
      </c>
    </row>
    <row r="1079" spans="1:4" x14ac:dyDescent="0.3">
      <c r="A1079" s="12" t="s">
        <v>46</v>
      </c>
      <c r="B1079" s="12" t="s">
        <v>1170</v>
      </c>
      <c r="C1079" s="12">
        <v>674</v>
      </c>
      <c r="D1079" s="12">
        <v>7</v>
      </c>
    </row>
    <row r="1080" spans="1:4" x14ac:dyDescent="0.3">
      <c r="A1080" s="12" t="s">
        <v>46</v>
      </c>
      <c r="B1080" s="12" t="s">
        <v>1171</v>
      </c>
      <c r="C1080" s="12">
        <v>1594</v>
      </c>
      <c r="D1080" s="12">
        <v>16</v>
      </c>
    </row>
    <row r="1081" spans="1:4" x14ac:dyDescent="0.3">
      <c r="A1081" s="12" t="s">
        <v>46</v>
      </c>
      <c r="B1081" s="12" t="s">
        <v>1172</v>
      </c>
      <c r="C1081" s="12">
        <v>831</v>
      </c>
      <c r="D1081" s="12">
        <v>8</v>
      </c>
    </row>
    <row r="1082" spans="1:4" x14ac:dyDescent="0.3">
      <c r="A1082" s="12" t="s">
        <v>46</v>
      </c>
      <c r="B1082" s="12" t="s">
        <v>1173</v>
      </c>
      <c r="C1082" s="12">
        <v>1141</v>
      </c>
      <c r="D1082" s="12">
        <v>11</v>
      </c>
    </row>
    <row r="1083" spans="1:4" x14ac:dyDescent="0.3">
      <c r="A1083" s="12" t="s">
        <v>46</v>
      </c>
      <c r="B1083" s="12" t="s">
        <v>1174</v>
      </c>
      <c r="C1083" s="12">
        <v>1862</v>
      </c>
      <c r="D1083" s="12">
        <v>19</v>
      </c>
    </row>
    <row r="1084" spans="1:4" x14ac:dyDescent="0.3">
      <c r="A1084" s="12" t="s">
        <v>46</v>
      </c>
      <c r="B1084" s="12" t="s">
        <v>1175</v>
      </c>
      <c r="C1084" s="12">
        <v>1586</v>
      </c>
      <c r="D1084" s="12">
        <v>16</v>
      </c>
    </row>
    <row r="1085" spans="1:4" x14ac:dyDescent="0.3">
      <c r="A1085" s="12" t="s">
        <v>46</v>
      </c>
      <c r="B1085" s="12" t="s">
        <v>1176</v>
      </c>
      <c r="C1085" s="12">
        <v>1519</v>
      </c>
      <c r="D1085" s="12">
        <v>15</v>
      </c>
    </row>
    <row r="1086" spans="1:4" x14ac:dyDescent="0.3">
      <c r="A1086" s="12" t="s">
        <v>46</v>
      </c>
      <c r="B1086" s="12" t="s">
        <v>1177</v>
      </c>
      <c r="C1086" s="12">
        <v>938</v>
      </c>
      <c r="D1086" s="12">
        <v>9</v>
      </c>
    </row>
    <row r="1087" spans="1:4" x14ac:dyDescent="0.3">
      <c r="A1087" s="12" t="s">
        <v>46</v>
      </c>
      <c r="B1087" s="12" t="s">
        <v>1178</v>
      </c>
      <c r="C1087" s="12">
        <v>1133</v>
      </c>
      <c r="D1087" s="12">
        <v>11</v>
      </c>
    </row>
    <row r="1088" spans="1:4" x14ac:dyDescent="0.3">
      <c r="A1088" s="12" t="s">
        <v>46</v>
      </c>
      <c r="B1088" s="12" t="s">
        <v>1179</v>
      </c>
      <c r="C1088" s="12">
        <v>1276</v>
      </c>
      <c r="D1088" s="12">
        <v>13</v>
      </c>
    </row>
    <row r="1089" spans="1:4" x14ac:dyDescent="0.3">
      <c r="A1089" s="12" t="s">
        <v>46</v>
      </c>
      <c r="B1089" s="12" t="s">
        <v>1180</v>
      </c>
      <c r="C1089" s="12">
        <v>784</v>
      </c>
      <c r="D1089" s="12">
        <v>8</v>
      </c>
    </row>
    <row r="1090" spans="1:4" x14ac:dyDescent="0.3">
      <c r="A1090" s="12" t="s">
        <v>46</v>
      </c>
      <c r="B1090" s="12" t="s">
        <v>1181</v>
      </c>
      <c r="C1090" s="12">
        <v>901</v>
      </c>
      <c r="D1090" s="12">
        <v>9</v>
      </c>
    </row>
    <row r="1091" spans="1:4" x14ac:dyDescent="0.3">
      <c r="A1091" s="12" t="s">
        <v>46</v>
      </c>
      <c r="B1091" s="12" t="s">
        <v>1182</v>
      </c>
      <c r="C1091" s="12">
        <v>1088</v>
      </c>
      <c r="D1091" s="12">
        <v>11</v>
      </c>
    </row>
    <row r="1092" spans="1:4" x14ac:dyDescent="0.3">
      <c r="A1092" s="12" t="s">
        <v>46</v>
      </c>
      <c r="B1092" s="12" t="s">
        <v>1183</v>
      </c>
      <c r="C1092" s="12">
        <v>643</v>
      </c>
      <c r="D1092" s="12">
        <v>6</v>
      </c>
    </row>
    <row r="1093" spans="1:4" x14ac:dyDescent="0.3">
      <c r="A1093" s="12" t="s">
        <v>46</v>
      </c>
      <c r="B1093" s="12" t="s">
        <v>1184</v>
      </c>
      <c r="C1093" s="12">
        <v>933</v>
      </c>
      <c r="D1093" s="12">
        <v>9</v>
      </c>
    </row>
    <row r="1094" spans="1:4" x14ac:dyDescent="0.3">
      <c r="A1094" s="12" t="s">
        <v>46</v>
      </c>
      <c r="B1094" s="12" t="s">
        <v>1185</v>
      </c>
      <c r="C1094" s="12">
        <v>1398</v>
      </c>
      <c r="D1094" s="12">
        <v>14</v>
      </c>
    </row>
    <row r="1095" spans="1:4" x14ac:dyDescent="0.3">
      <c r="A1095" s="12" t="s">
        <v>46</v>
      </c>
      <c r="B1095" s="12" t="s">
        <v>1186</v>
      </c>
      <c r="C1095" s="12">
        <v>1132</v>
      </c>
      <c r="D1095" s="12">
        <v>11</v>
      </c>
    </row>
    <row r="1096" spans="1:4" x14ac:dyDescent="0.3">
      <c r="A1096" s="12" t="s">
        <v>46</v>
      </c>
      <c r="B1096" s="12" t="s">
        <v>1187</v>
      </c>
      <c r="C1096" s="12">
        <v>1080</v>
      </c>
      <c r="D1096" s="12">
        <v>11</v>
      </c>
    </row>
    <row r="1097" spans="1:4" x14ac:dyDescent="0.3">
      <c r="A1097" s="12" t="s">
        <v>46</v>
      </c>
      <c r="B1097" s="12" t="s">
        <v>1188</v>
      </c>
      <c r="C1097" s="12">
        <v>972</v>
      </c>
      <c r="D1097" s="12">
        <v>10</v>
      </c>
    </row>
    <row r="1098" spans="1:4" x14ac:dyDescent="0.3">
      <c r="A1098" s="12" t="s">
        <v>46</v>
      </c>
      <c r="B1098" s="12" t="s">
        <v>1189</v>
      </c>
      <c r="C1098" s="12">
        <v>1276</v>
      </c>
      <c r="D1098" s="12">
        <v>13</v>
      </c>
    </row>
    <row r="1099" spans="1:4" x14ac:dyDescent="0.3">
      <c r="A1099" s="12" t="s">
        <v>46</v>
      </c>
      <c r="B1099" s="12" t="s">
        <v>1190</v>
      </c>
      <c r="C1099" s="12">
        <v>1386</v>
      </c>
      <c r="D1099" s="12">
        <v>14</v>
      </c>
    </row>
    <row r="1100" spans="1:4" x14ac:dyDescent="0.3">
      <c r="A1100" s="12" t="s">
        <v>46</v>
      </c>
      <c r="B1100" s="12" t="s">
        <v>1191</v>
      </c>
      <c r="C1100" s="12">
        <v>1492</v>
      </c>
      <c r="D1100" s="12">
        <v>15</v>
      </c>
    </row>
    <row r="1101" spans="1:4" x14ac:dyDescent="0.3">
      <c r="A1101" s="12" t="s">
        <v>46</v>
      </c>
      <c r="B1101" s="12" t="s">
        <v>1192</v>
      </c>
      <c r="C1101" s="12">
        <v>1465</v>
      </c>
      <c r="D1101" s="12">
        <v>15</v>
      </c>
    </row>
    <row r="1102" spans="1:4" x14ac:dyDescent="0.3">
      <c r="A1102" s="12" t="s">
        <v>46</v>
      </c>
      <c r="B1102" s="12" t="s">
        <v>1193</v>
      </c>
      <c r="C1102" s="12">
        <v>1430</v>
      </c>
      <c r="D1102" s="12">
        <v>14</v>
      </c>
    </row>
    <row r="1103" spans="1:4" x14ac:dyDescent="0.3">
      <c r="A1103" s="12" t="s">
        <v>46</v>
      </c>
      <c r="B1103" s="12" t="s">
        <v>1194</v>
      </c>
      <c r="C1103" s="12">
        <v>1077</v>
      </c>
      <c r="D1103" s="12">
        <v>11</v>
      </c>
    </row>
    <row r="1104" spans="1:4" x14ac:dyDescent="0.3">
      <c r="A1104" s="12" t="s">
        <v>46</v>
      </c>
      <c r="B1104" s="12" t="s">
        <v>1195</v>
      </c>
      <c r="C1104" s="12">
        <v>1513</v>
      </c>
      <c r="D1104" s="12">
        <v>15</v>
      </c>
    </row>
    <row r="1105" spans="1:4" x14ac:dyDescent="0.3">
      <c r="A1105" s="12" t="s">
        <v>46</v>
      </c>
      <c r="B1105" s="12" t="s">
        <v>1196</v>
      </c>
      <c r="C1105" s="12">
        <v>1132</v>
      </c>
      <c r="D1105" s="12">
        <v>11</v>
      </c>
    </row>
    <row r="1106" spans="1:4" x14ac:dyDescent="0.3">
      <c r="A1106" s="12" t="s">
        <v>46</v>
      </c>
      <c r="B1106" s="12" t="s">
        <v>1197</v>
      </c>
      <c r="C1106" s="12">
        <v>857</v>
      </c>
      <c r="D1106" s="12">
        <v>9</v>
      </c>
    </row>
    <row r="1107" spans="1:4" x14ac:dyDescent="0.3">
      <c r="A1107" s="12" t="s">
        <v>46</v>
      </c>
      <c r="B1107" s="12" t="s">
        <v>1198</v>
      </c>
      <c r="C1107" s="12">
        <v>437</v>
      </c>
      <c r="D1107" s="12">
        <v>4</v>
      </c>
    </row>
    <row r="1108" spans="1:4" x14ac:dyDescent="0.3">
      <c r="A1108" s="12" t="s">
        <v>46</v>
      </c>
      <c r="B1108" s="12" t="s">
        <v>1199</v>
      </c>
      <c r="C1108" s="12">
        <v>753</v>
      </c>
      <c r="D1108" s="12">
        <v>8</v>
      </c>
    </row>
    <row r="1109" spans="1:4" x14ac:dyDescent="0.3">
      <c r="A1109" s="12" t="s">
        <v>46</v>
      </c>
      <c r="B1109" s="12" t="s">
        <v>1200</v>
      </c>
      <c r="C1109" s="12">
        <v>499</v>
      </c>
      <c r="D1109" s="12">
        <v>5</v>
      </c>
    </row>
    <row r="1110" spans="1:4" x14ac:dyDescent="0.3">
      <c r="A1110" s="12" t="s">
        <v>46</v>
      </c>
      <c r="B1110" s="12" t="s">
        <v>1201</v>
      </c>
      <c r="C1110" s="12">
        <v>720</v>
      </c>
      <c r="D1110" s="12">
        <v>7</v>
      </c>
    </row>
    <row r="1111" spans="1:4" x14ac:dyDescent="0.3">
      <c r="A1111" s="12" t="s">
        <v>46</v>
      </c>
      <c r="B1111" s="12" t="s">
        <v>1202</v>
      </c>
      <c r="C1111" s="12">
        <v>999</v>
      </c>
      <c r="D1111" s="12">
        <v>10</v>
      </c>
    </row>
    <row r="1112" spans="1:4" x14ac:dyDescent="0.3">
      <c r="A1112" s="12" t="s">
        <v>46</v>
      </c>
      <c r="B1112" s="12" t="s">
        <v>1203</v>
      </c>
      <c r="C1112" s="12">
        <v>1133</v>
      </c>
      <c r="D1112" s="12">
        <v>11</v>
      </c>
    </row>
    <row r="1113" spans="1:4" x14ac:dyDescent="0.3">
      <c r="A1113" s="12" t="s">
        <v>46</v>
      </c>
      <c r="B1113" s="12" t="s">
        <v>1204</v>
      </c>
      <c r="C1113" s="12">
        <v>1240</v>
      </c>
      <c r="D1113" s="12">
        <v>12</v>
      </c>
    </row>
    <row r="1114" spans="1:4" x14ac:dyDescent="0.3">
      <c r="A1114" s="12" t="s">
        <v>46</v>
      </c>
      <c r="B1114" s="12" t="s">
        <v>1205</v>
      </c>
      <c r="C1114" s="12">
        <v>814</v>
      </c>
      <c r="D1114" s="12">
        <v>8</v>
      </c>
    </row>
    <row r="1115" spans="1:4" x14ac:dyDescent="0.3">
      <c r="A1115" s="12" t="s">
        <v>46</v>
      </c>
      <c r="B1115" s="12" t="s">
        <v>1206</v>
      </c>
      <c r="C1115" s="12">
        <v>574</v>
      </c>
      <c r="D1115" s="12">
        <v>6</v>
      </c>
    </row>
    <row r="1116" spans="1:4" x14ac:dyDescent="0.3">
      <c r="A1116" s="12" t="s">
        <v>46</v>
      </c>
      <c r="B1116" s="12" t="s">
        <v>1207</v>
      </c>
      <c r="C1116" s="12">
        <v>926</v>
      </c>
      <c r="D1116" s="12">
        <v>9</v>
      </c>
    </row>
    <row r="1117" spans="1:4" x14ac:dyDescent="0.3">
      <c r="A1117" s="12" t="s">
        <v>46</v>
      </c>
      <c r="B1117" s="12" t="s">
        <v>1208</v>
      </c>
      <c r="C1117" s="12">
        <v>1244</v>
      </c>
      <c r="D1117" s="12">
        <v>12</v>
      </c>
    </row>
    <row r="1118" spans="1:4" x14ac:dyDescent="0.3">
      <c r="A1118" s="12" t="s">
        <v>46</v>
      </c>
      <c r="B1118" s="12" t="s">
        <v>1209</v>
      </c>
      <c r="C1118" s="12">
        <v>956</v>
      </c>
      <c r="D1118" s="12">
        <v>10</v>
      </c>
    </row>
    <row r="1119" spans="1:4" x14ac:dyDescent="0.3">
      <c r="A1119" s="12" t="s">
        <v>46</v>
      </c>
      <c r="B1119" s="12" t="s">
        <v>1210</v>
      </c>
      <c r="C1119" s="12">
        <v>656</v>
      </c>
      <c r="D1119" s="12">
        <v>7</v>
      </c>
    </row>
    <row r="1120" spans="1:4" x14ac:dyDescent="0.3">
      <c r="A1120" s="12" t="s">
        <v>46</v>
      </c>
      <c r="B1120" s="12" t="s">
        <v>1211</v>
      </c>
      <c r="C1120" s="12">
        <v>610</v>
      </c>
      <c r="D1120" s="12">
        <v>6</v>
      </c>
    </row>
    <row r="1121" spans="1:4" x14ac:dyDescent="0.3">
      <c r="A1121" s="12" t="s">
        <v>46</v>
      </c>
      <c r="B1121" s="12" t="s">
        <v>1212</v>
      </c>
      <c r="C1121" s="12">
        <v>447</v>
      </c>
      <c r="D1121" s="12">
        <v>4</v>
      </c>
    </row>
    <row r="1122" spans="1:4" x14ac:dyDescent="0.3">
      <c r="A1122" s="12" t="s">
        <v>46</v>
      </c>
      <c r="B1122" s="12" t="s">
        <v>1213</v>
      </c>
      <c r="C1122" s="12">
        <v>703</v>
      </c>
      <c r="D1122" s="12">
        <v>7</v>
      </c>
    </row>
    <row r="1123" spans="1:4" x14ac:dyDescent="0.3">
      <c r="A1123" s="12" t="s">
        <v>46</v>
      </c>
      <c r="B1123" s="12" t="s">
        <v>1214</v>
      </c>
      <c r="C1123" s="12">
        <v>477</v>
      </c>
      <c r="D1123" s="12">
        <v>5</v>
      </c>
    </row>
    <row r="1124" spans="1:4" x14ac:dyDescent="0.3">
      <c r="A1124" s="12" t="s">
        <v>46</v>
      </c>
      <c r="B1124" s="12" t="s">
        <v>1215</v>
      </c>
      <c r="C1124" s="12">
        <v>564</v>
      </c>
      <c r="D1124" s="12">
        <v>6</v>
      </c>
    </row>
    <row r="1125" spans="1:4" x14ac:dyDescent="0.3">
      <c r="A1125" s="12" t="s">
        <v>46</v>
      </c>
      <c r="B1125" s="12" t="s">
        <v>1216</v>
      </c>
      <c r="C1125" s="12">
        <v>1005</v>
      </c>
      <c r="D1125" s="12">
        <v>10</v>
      </c>
    </row>
    <row r="1126" spans="1:4" x14ac:dyDescent="0.3">
      <c r="A1126" s="12" t="s">
        <v>46</v>
      </c>
      <c r="B1126" s="12" t="s">
        <v>1217</v>
      </c>
      <c r="C1126" s="12">
        <v>802</v>
      </c>
      <c r="D1126" s="12">
        <v>8</v>
      </c>
    </row>
    <row r="1127" spans="1:4" x14ac:dyDescent="0.3">
      <c r="A1127" s="12" t="s">
        <v>46</v>
      </c>
      <c r="B1127" s="12" t="s">
        <v>1218</v>
      </c>
      <c r="C1127" s="12">
        <v>367</v>
      </c>
      <c r="D1127" s="12">
        <v>4</v>
      </c>
    </row>
    <row r="1128" spans="1:4" x14ac:dyDescent="0.3">
      <c r="A1128" s="12" t="s">
        <v>46</v>
      </c>
      <c r="B1128" s="12" t="s">
        <v>1219</v>
      </c>
      <c r="C1128" s="12">
        <v>515</v>
      </c>
      <c r="D1128" s="12">
        <v>5</v>
      </c>
    </row>
    <row r="1129" spans="1:4" x14ac:dyDescent="0.3">
      <c r="A1129" s="12" t="s">
        <v>46</v>
      </c>
      <c r="B1129" s="12" t="s">
        <v>1220</v>
      </c>
      <c r="C1129" s="12">
        <v>417</v>
      </c>
      <c r="D1129" s="12">
        <v>4</v>
      </c>
    </row>
    <row r="1130" spans="1:4" x14ac:dyDescent="0.3">
      <c r="A1130" s="12" t="s">
        <v>46</v>
      </c>
      <c r="B1130" s="12" t="s">
        <v>1221</v>
      </c>
      <c r="C1130" s="12">
        <v>472</v>
      </c>
      <c r="D1130" s="12">
        <v>5</v>
      </c>
    </row>
    <row r="1131" spans="1:4" x14ac:dyDescent="0.3">
      <c r="A1131" s="12" t="s">
        <v>46</v>
      </c>
      <c r="B1131" s="12" t="s">
        <v>1222</v>
      </c>
      <c r="C1131" s="12">
        <v>501</v>
      </c>
      <c r="D1131" s="12">
        <v>5</v>
      </c>
    </row>
    <row r="1132" spans="1:4" x14ac:dyDescent="0.3">
      <c r="A1132" s="12" t="s">
        <v>46</v>
      </c>
      <c r="B1132" s="12" t="s">
        <v>1223</v>
      </c>
      <c r="C1132" s="12">
        <v>410</v>
      </c>
      <c r="D1132" s="12">
        <v>4</v>
      </c>
    </row>
    <row r="1133" spans="1:4" x14ac:dyDescent="0.3">
      <c r="A1133" s="12" t="s">
        <v>46</v>
      </c>
      <c r="B1133" s="12" t="s">
        <v>1224</v>
      </c>
      <c r="C1133" s="12">
        <v>806</v>
      </c>
      <c r="D1133" s="12">
        <v>8</v>
      </c>
    </row>
    <row r="1134" spans="1:4" x14ac:dyDescent="0.3">
      <c r="A1134" s="12" t="s">
        <v>46</v>
      </c>
      <c r="B1134" s="12" t="s">
        <v>1225</v>
      </c>
      <c r="C1134" s="12">
        <v>1166</v>
      </c>
      <c r="D1134" s="12">
        <v>12</v>
      </c>
    </row>
    <row r="1135" spans="1:4" x14ac:dyDescent="0.3">
      <c r="A1135" s="12" t="s">
        <v>46</v>
      </c>
      <c r="B1135" s="12" t="s">
        <v>1226</v>
      </c>
      <c r="C1135" s="12">
        <v>766</v>
      </c>
      <c r="D1135" s="12">
        <v>8</v>
      </c>
    </row>
    <row r="1136" spans="1:4" x14ac:dyDescent="0.3">
      <c r="A1136" s="12" t="s">
        <v>46</v>
      </c>
      <c r="B1136" s="12" t="s">
        <v>1227</v>
      </c>
      <c r="C1136" s="12">
        <v>1008</v>
      </c>
      <c r="D1136" s="12">
        <v>10</v>
      </c>
    </row>
    <row r="1137" spans="1:4" x14ac:dyDescent="0.3">
      <c r="A1137" s="12" t="s">
        <v>46</v>
      </c>
      <c r="B1137" s="12" t="s">
        <v>1228</v>
      </c>
      <c r="C1137" s="12">
        <v>557</v>
      </c>
      <c r="D1137" s="12">
        <v>6</v>
      </c>
    </row>
    <row r="1138" spans="1:4" x14ac:dyDescent="0.3">
      <c r="A1138" s="12" t="s">
        <v>46</v>
      </c>
      <c r="B1138" s="12" t="s">
        <v>1229</v>
      </c>
      <c r="C1138" s="12">
        <v>1314</v>
      </c>
      <c r="D1138" s="12">
        <v>13</v>
      </c>
    </row>
    <row r="1139" spans="1:4" x14ac:dyDescent="0.3">
      <c r="A1139" s="12" t="s">
        <v>46</v>
      </c>
      <c r="B1139" s="12" t="s">
        <v>1230</v>
      </c>
      <c r="C1139" s="12">
        <v>933</v>
      </c>
      <c r="D1139" s="12">
        <v>9</v>
      </c>
    </row>
    <row r="1140" spans="1:4" x14ac:dyDescent="0.3">
      <c r="A1140" s="12" t="s">
        <v>46</v>
      </c>
      <c r="B1140" s="12" t="s">
        <v>1231</v>
      </c>
      <c r="C1140" s="12">
        <v>1143</v>
      </c>
      <c r="D1140" s="12">
        <v>11</v>
      </c>
    </row>
    <row r="1141" spans="1:4" x14ac:dyDescent="0.3">
      <c r="A1141" s="12" t="s">
        <v>46</v>
      </c>
      <c r="B1141" s="12" t="s">
        <v>1232</v>
      </c>
      <c r="C1141" s="12">
        <v>998</v>
      </c>
      <c r="D1141" s="12">
        <v>10</v>
      </c>
    </row>
    <row r="1142" spans="1:4" x14ac:dyDescent="0.3">
      <c r="A1142" s="12" t="s">
        <v>46</v>
      </c>
      <c r="B1142" s="12" t="s">
        <v>1233</v>
      </c>
      <c r="C1142" s="12">
        <v>690</v>
      </c>
      <c r="D1142" s="12">
        <v>7</v>
      </c>
    </row>
    <row r="1143" spans="1:4" x14ac:dyDescent="0.3">
      <c r="A1143" s="12" t="s">
        <v>46</v>
      </c>
      <c r="B1143" s="12" t="s">
        <v>1234</v>
      </c>
      <c r="C1143" s="12">
        <v>667</v>
      </c>
      <c r="D1143" s="12">
        <v>7</v>
      </c>
    </row>
    <row r="1144" spans="1:4" x14ac:dyDescent="0.3">
      <c r="A1144" s="12" t="s">
        <v>46</v>
      </c>
      <c r="B1144" s="12" t="s">
        <v>1235</v>
      </c>
      <c r="C1144" s="12">
        <v>612</v>
      </c>
      <c r="D1144" s="12">
        <v>6</v>
      </c>
    </row>
    <row r="1145" spans="1:4" x14ac:dyDescent="0.3">
      <c r="A1145" s="12" t="s">
        <v>46</v>
      </c>
      <c r="B1145" s="12" t="s">
        <v>1236</v>
      </c>
      <c r="C1145" s="12">
        <v>267</v>
      </c>
      <c r="D1145" s="12">
        <v>3</v>
      </c>
    </row>
    <row r="1146" spans="1:4" x14ac:dyDescent="0.3">
      <c r="A1146" s="12" t="s">
        <v>46</v>
      </c>
      <c r="B1146" s="12" t="s">
        <v>1237</v>
      </c>
      <c r="C1146" s="12">
        <v>951</v>
      </c>
      <c r="D1146" s="12">
        <v>10</v>
      </c>
    </row>
    <row r="1147" spans="1:4" x14ac:dyDescent="0.3">
      <c r="A1147" s="12" t="s">
        <v>46</v>
      </c>
      <c r="B1147" s="12" t="s">
        <v>1238</v>
      </c>
      <c r="C1147" s="12">
        <v>1150</v>
      </c>
      <c r="D1147" s="12">
        <v>12</v>
      </c>
    </row>
    <row r="1148" spans="1:4" x14ac:dyDescent="0.3">
      <c r="A1148" s="12" t="s">
        <v>46</v>
      </c>
      <c r="B1148" s="12" t="s">
        <v>1239</v>
      </c>
      <c r="C1148" s="12">
        <v>2315</v>
      </c>
      <c r="D1148" s="12">
        <v>23</v>
      </c>
    </row>
    <row r="1149" spans="1:4" x14ac:dyDescent="0.3">
      <c r="A1149" s="12" t="s">
        <v>46</v>
      </c>
      <c r="B1149" s="12" t="s">
        <v>1240</v>
      </c>
      <c r="C1149" s="12">
        <v>682</v>
      </c>
      <c r="D1149" s="12">
        <v>7</v>
      </c>
    </row>
    <row r="1150" spans="1:4" x14ac:dyDescent="0.3">
      <c r="A1150" s="12" t="s">
        <v>46</v>
      </c>
      <c r="B1150" s="12" t="s">
        <v>1241</v>
      </c>
      <c r="C1150" s="12">
        <v>1119</v>
      </c>
      <c r="D1150" s="12">
        <v>11</v>
      </c>
    </row>
    <row r="1151" spans="1:4" x14ac:dyDescent="0.3">
      <c r="A1151" s="12" t="s">
        <v>46</v>
      </c>
      <c r="B1151" s="12" t="s">
        <v>1242</v>
      </c>
      <c r="C1151" s="12">
        <v>1618</v>
      </c>
      <c r="D1151" s="12">
        <v>16</v>
      </c>
    </row>
    <row r="1152" spans="1:4" x14ac:dyDescent="0.3">
      <c r="A1152" s="12" t="s">
        <v>46</v>
      </c>
      <c r="B1152" s="12" t="s">
        <v>1243</v>
      </c>
      <c r="C1152" s="12">
        <v>877</v>
      </c>
      <c r="D1152" s="12">
        <v>9</v>
      </c>
    </row>
    <row r="1153" spans="1:4" x14ac:dyDescent="0.3">
      <c r="A1153" s="12" t="s">
        <v>46</v>
      </c>
      <c r="B1153" s="12" t="s">
        <v>1244</v>
      </c>
      <c r="C1153" s="12">
        <v>1176</v>
      </c>
      <c r="D1153" s="12">
        <v>12</v>
      </c>
    </row>
    <row r="1154" spans="1:4" x14ac:dyDescent="0.3">
      <c r="A1154" s="12" t="s">
        <v>46</v>
      </c>
      <c r="B1154" s="12" t="s">
        <v>1245</v>
      </c>
      <c r="C1154" s="12">
        <v>983</v>
      </c>
      <c r="D1154" s="12">
        <v>10</v>
      </c>
    </row>
    <row r="1155" spans="1:4" x14ac:dyDescent="0.3">
      <c r="A1155" s="12" t="s">
        <v>46</v>
      </c>
      <c r="B1155" s="12" t="s">
        <v>1246</v>
      </c>
      <c r="C1155" s="12">
        <v>587</v>
      </c>
      <c r="D1155" s="12">
        <v>6</v>
      </c>
    </row>
    <row r="1156" spans="1:4" x14ac:dyDescent="0.3">
      <c r="A1156" s="12" t="s">
        <v>46</v>
      </c>
      <c r="B1156" s="12" t="s">
        <v>1247</v>
      </c>
      <c r="C1156" s="12">
        <v>804</v>
      </c>
      <c r="D1156" s="12">
        <v>8</v>
      </c>
    </row>
    <row r="1157" spans="1:4" x14ac:dyDescent="0.3">
      <c r="A1157" s="12" t="s">
        <v>46</v>
      </c>
      <c r="B1157" s="12" t="s">
        <v>1248</v>
      </c>
      <c r="C1157" s="12">
        <v>356</v>
      </c>
      <c r="D1157" s="12">
        <v>4</v>
      </c>
    </row>
    <row r="1158" spans="1:4" x14ac:dyDescent="0.3">
      <c r="A1158" s="12" t="s">
        <v>46</v>
      </c>
      <c r="B1158" s="12" t="s">
        <v>1249</v>
      </c>
      <c r="C1158" s="12">
        <v>519</v>
      </c>
      <c r="D1158" s="12">
        <v>5</v>
      </c>
    </row>
    <row r="1159" spans="1:4" x14ac:dyDescent="0.3">
      <c r="A1159" s="12" t="s">
        <v>46</v>
      </c>
      <c r="B1159" s="12" t="s">
        <v>1250</v>
      </c>
      <c r="C1159" s="12">
        <v>740</v>
      </c>
      <c r="D1159" s="12">
        <v>7</v>
      </c>
    </row>
    <row r="1160" spans="1:4" x14ac:dyDescent="0.3">
      <c r="A1160" s="12" t="s">
        <v>46</v>
      </c>
      <c r="B1160" s="12" t="s">
        <v>1251</v>
      </c>
      <c r="C1160" s="12">
        <v>197</v>
      </c>
      <c r="D1160" s="12">
        <v>2</v>
      </c>
    </row>
    <row r="1161" spans="1:4" x14ac:dyDescent="0.3">
      <c r="A1161" s="12" t="s">
        <v>46</v>
      </c>
      <c r="B1161" s="12" t="s">
        <v>1252</v>
      </c>
      <c r="C1161" s="12">
        <v>946</v>
      </c>
      <c r="D1161" s="12">
        <v>9</v>
      </c>
    </row>
    <row r="1162" spans="1:4" x14ac:dyDescent="0.3">
      <c r="A1162" s="12" t="s">
        <v>46</v>
      </c>
      <c r="B1162" s="12" t="s">
        <v>1253</v>
      </c>
      <c r="C1162" s="12">
        <v>678</v>
      </c>
      <c r="D1162" s="12">
        <v>7</v>
      </c>
    </row>
    <row r="1163" spans="1:4" x14ac:dyDescent="0.3">
      <c r="A1163" s="12" t="s">
        <v>46</v>
      </c>
      <c r="B1163" s="12" t="s">
        <v>1254</v>
      </c>
      <c r="C1163" s="12">
        <v>499</v>
      </c>
      <c r="D1163" s="12">
        <v>5</v>
      </c>
    </row>
    <row r="1164" spans="1:4" x14ac:dyDescent="0.3">
      <c r="A1164" s="12" t="s">
        <v>46</v>
      </c>
      <c r="B1164" s="12" t="s">
        <v>1255</v>
      </c>
      <c r="C1164" s="12">
        <v>561</v>
      </c>
      <c r="D1164" s="12">
        <v>6</v>
      </c>
    </row>
    <row r="1165" spans="1:4" x14ac:dyDescent="0.3">
      <c r="A1165" s="12" t="s">
        <v>46</v>
      </c>
      <c r="B1165" s="12" t="s">
        <v>1256</v>
      </c>
      <c r="C1165" s="12">
        <v>1306</v>
      </c>
      <c r="D1165" s="12">
        <v>13</v>
      </c>
    </row>
    <row r="1166" spans="1:4" x14ac:dyDescent="0.3">
      <c r="A1166" s="12" t="s">
        <v>46</v>
      </c>
      <c r="B1166" s="12" t="s">
        <v>1257</v>
      </c>
      <c r="C1166" s="12">
        <v>1489</v>
      </c>
      <c r="D1166" s="12">
        <v>15</v>
      </c>
    </row>
    <row r="1167" spans="1:4" x14ac:dyDescent="0.3">
      <c r="A1167" s="12" t="s">
        <v>46</v>
      </c>
      <c r="B1167" s="12" t="s">
        <v>1258</v>
      </c>
      <c r="C1167" s="12">
        <v>369</v>
      </c>
      <c r="D1167" s="12">
        <v>4</v>
      </c>
    </row>
    <row r="1168" spans="1:4" x14ac:dyDescent="0.3">
      <c r="A1168" s="12" t="s">
        <v>46</v>
      </c>
      <c r="B1168" s="12" t="s">
        <v>1259</v>
      </c>
      <c r="C1168" s="12">
        <v>1484</v>
      </c>
      <c r="D1168" s="12">
        <v>15</v>
      </c>
    </row>
    <row r="1169" spans="1:4" x14ac:dyDescent="0.3">
      <c r="A1169" s="12" t="s">
        <v>46</v>
      </c>
      <c r="B1169" s="12" t="s">
        <v>1260</v>
      </c>
      <c r="C1169" s="12">
        <v>948</v>
      </c>
      <c r="D1169" s="12">
        <v>9</v>
      </c>
    </row>
    <row r="1170" spans="1:4" x14ac:dyDescent="0.3">
      <c r="A1170" s="12" t="s">
        <v>46</v>
      </c>
      <c r="B1170" s="12" t="s">
        <v>1261</v>
      </c>
      <c r="C1170" s="12">
        <v>445</v>
      </c>
      <c r="D1170" s="12">
        <v>4</v>
      </c>
    </row>
    <row r="1171" spans="1:4" x14ac:dyDescent="0.3">
      <c r="A1171" s="12" t="s">
        <v>46</v>
      </c>
      <c r="B1171" s="12" t="s">
        <v>1262</v>
      </c>
      <c r="C1171" s="12">
        <v>1042</v>
      </c>
      <c r="D1171" s="12">
        <v>10</v>
      </c>
    </row>
    <row r="1172" spans="1:4" x14ac:dyDescent="0.3">
      <c r="A1172" s="12" t="s">
        <v>46</v>
      </c>
      <c r="B1172" s="12" t="s">
        <v>1263</v>
      </c>
      <c r="C1172" s="12">
        <v>1169</v>
      </c>
      <c r="D1172" s="12">
        <v>12</v>
      </c>
    </row>
    <row r="1173" spans="1:4" x14ac:dyDescent="0.3">
      <c r="A1173" s="12" t="s">
        <v>46</v>
      </c>
      <c r="B1173" s="12" t="s">
        <v>1264</v>
      </c>
      <c r="C1173" s="12">
        <v>837</v>
      </c>
      <c r="D1173" s="12">
        <v>8</v>
      </c>
    </row>
    <row r="1174" spans="1:4" x14ac:dyDescent="0.3">
      <c r="A1174" s="12" t="s">
        <v>46</v>
      </c>
      <c r="B1174" s="12" t="s">
        <v>1265</v>
      </c>
      <c r="C1174" s="12">
        <v>923</v>
      </c>
      <c r="D1174" s="12">
        <v>9</v>
      </c>
    </row>
    <row r="1175" spans="1:4" x14ac:dyDescent="0.3">
      <c r="A1175" s="12" t="s">
        <v>46</v>
      </c>
      <c r="B1175" s="12" t="s">
        <v>1266</v>
      </c>
      <c r="C1175" s="12">
        <v>1019</v>
      </c>
      <c r="D1175" s="12">
        <v>10</v>
      </c>
    </row>
    <row r="1176" spans="1:4" x14ac:dyDescent="0.3">
      <c r="A1176" s="12" t="s">
        <v>46</v>
      </c>
      <c r="B1176" s="12" t="s">
        <v>1267</v>
      </c>
      <c r="C1176" s="12">
        <v>927</v>
      </c>
      <c r="D1176" s="12">
        <v>9</v>
      </c>
    </row>
    <row r="1177" spans="1:4" x14ac:dyDescent="0.3">
      <c r="A1177" s="12" t="s">
        <v>46</v>
      </c>
      <c r="B1177" s="12" t="s">
        <v>1268</v>
      </c>
      <c r="C1177" s="12">
        <v>259</v>
      </c>
      <c r="D1177" s="12">
        <v>3</v>
      </c>
    </row>
    <row r="1178" spans="1:4" x14ac:dyDescent="0.3">
      <c r="A1178" s="12" t="s">
        <v>46</v>
      </c>
      <c r="B1178" s="12" t="s">
        <v>1269</v>
      </c>
      <c r="C1178" s="12">
        <v>336</v>
      </c>
      <c r="D1178" s="12">
        <v>3</v>
      </c>
    </row>
    <row r="1179" spans="1:4" x14ac:dyDescent="0.3">
      <c r="A1179" s="12" t="s">
        <v>46</v>
      </c>
      <c r="B1179" s="12" t="s">
        <v>1270</v>
      </c>
      <c r="C1179" s="12">
        <v>166</v>
      </c>
      <c r="D1179" s="12">
        <v>2</v>
      </c>
    </row>
    <row r="1180" spans="1:4" ht="43.2" x14ac:dyDescent="0.3">
      <c r="A1180" s="12" t="s">
        <v>47</v>
      </c>
      <c r="B1180" s="12" t="s">
        <v>1271</v>
      </c>
      <c r="C1180" s="12">
        <v>181</v>
      </c>
      <c r="D1180" s="12">
        <v>2</v>
      </c>
    </row>
    <row r="1181" spans="1:4" ht="43.2" x14ac:dyDescent="0.3">
      <c r="A1181" s="12" t="s">
        <v>47</v>
      </c>
      <c r="B1181" s="12" t="s">
        <v>1272</v>
      </c>
      <c r="C1181" s="12">
        <v>203</v>
      </c>
      <c r="D1181" s="12">
        <v>2</v>
      </c>
    </row>
    <row r="1182" spans="1:4" ht="43.2" x14ac:dyDescent="0.3">
      <c r="A1182" s="12" t="s">
        <v>47</v>
      </c>
      <c r="B1182" s="12" t="s">
        <v>1273</v>
      </c>
      <c r="C1182" s="12">
        <v>1356</v>
      </c>
      <c r="D1182" s="12">
        <v>14</v>
      </c>
    </row>
    <row r="1183" spans="1:4" ht="43.2" x14ac:dyDescent="0.3">
      <c r="A1183" s="12" t="s">
        <v>47</v>
      </c>
      <c r="B1183" s="12" t="s">
        <v>1274</v>
      </c>
      <c r="C1183" s="12">
        <v>860</v>
      </c>
      <c r="D1183" s="12">
        <v>9</v>
      </c>
    </row>
    <row r="1184" spans="1:4" ht="28.8" x14ac:dyDescent="0.3">
      <c r="A1184" s="12" t="s">
        <v>47</v>
      </c>
      <c r="B1184" s="12" t="s">
        <v>1275</v>
      </c>
      <c r="C1184" s="12">
        <v>404</v>
      </c>
      <c r="D1184" s="12">
        <v>4</v>
      </c>
    </row>
    <row r="1185" spans="1:4" ht="28.8" x14ac:dyDescent="0.3">
      <c r="A1185" s="12" t="s">
        <v>47</v>
      </c>
      <c r="B1185" s="12" t="s">
        <v>1276</v>
      </c>
      <c r="C1185" s="12">
        <v>680</v>
      </c>
      <c r="D1185" s="12">
        <v>7</v>
      </c>
    </row>
    <row r="1186" spans="1:4" ht="43.2" x14ac:dyDescent="0.3">
      <c r="A1186" s="12" t="s">
        <v>47</v>
      </c>
      <c r="B1186" s="12" t="s">
        <v>1277</v>
      </c>
      <c r="C1186" s="12">
        <v>514</v>
      </c>
      <c r="D1186" s="12">
        <v>5</v>
      </c>
    </row>
    <row r="1187" spans="1:4" ht="43.2" x14ac:dyDescent="0.3">
      <c r="A1187" s="12" t="s">
        <v>47</v>
      </c>
      <c r="B1187" s="12" t="s">
        <v>1278</v>
      </c>
      <c r="C1187" s="12">
        <v>1251</v>
      </c>
      <c r="D1187" s="12">
        <v>13</v>
      </c>
    </row>
    <row r="1188" spans="1:4" ht="43.2" x14ac:dyDescent="0.3">
      <c r="A1188" s="12" t="s">
        <v>47</v>
      </c>
      <c r="B1188" s="12" t="s">
        <v>1279</v>
      </c>
      <c r="C1188" s="12">
        <v>836</v>
      </c>
      <c r="D1188" s="12">
        <v>8</v>
      </c>
    </row>
    <row r="1189" spans="1:4" ht="43.2" x14ac:dyDescent="0.3">
      <c r="A1189" s="12" t="s">
        <v>47</v>
      </c>
      <c r="B1189" s="12" t="s">
        <v>1280</v>
      </c>
      <c r="C1189" s="12">
        <v>471</v>
      </c>
      <c r="D1189" s="12">
        <v>5</v>
      </c>
    </row>
    <row r="1190" spans="1:4" ht="43.2" x14ac:dyDescent="0.3">
      <c r="A1190" s="12" t="s">
        <v>47</v>
      </c>
      <c r="B1190" s="12" t="s">
        <v>1281</v>
      </c>
      <c r="C1190" s="12">
        <v>849</v>
      </c>
      <c r="D1190" s="12">
        <v>8</v>
      </c>
    </row>
    <row r="1191" spans="1:4" ht="57.6" x14ac:dyDescent="0.3">
      <c r="A1191" s="12" t="s">
        <v>47</v>
      </c>
      <c r="B1191" s="12" t="s">
        <v>1282</v>
      </c>
      <c r="C1191" s="12">
        <v>377</v>
      </c>
      <c r="D1191" s="12">
        <v>4</v>
      </c>
    </row>
    <row r="1192" spans="1:4" ht="57.6" x14ac:dyDescent="0.3">
      <c r="A1192" s="12" t="s">
        <v>47</v>
      </c>
      <c r="B1192" s="12" t="s">
        <v>1283</v>
      </c>
      <c r="C1192" s="12">
        <v>768</v>
      </c>
      <c r="D1192" s="12">
        <v>8</v>
      </c>
    </row>
    <row r="1193" spans="1:4" ht="57.6" x14ac:dyDescent="0.3">
      <c r="A1193" s="12" t="s">
        <v>47</v>
      </c>
      <c r="B1193" s="12" t="s">
        <v>1284</v>
      </c>
      <c r="C1193" s="12">
        <v>751</v>
      </c>
      <c r="D1193" s="12">
        <v>8</v>
      </c>
    </row>
    <row r="1194" spans="1:4" ht="57.6" x14ac:dyDescent="0.3">
      <c r="A1194" s="12" t="s">
        <v>47</v>
      </c>
      <c r="B1194" s="12" t="s">
        <v>1285</v>
      </c>
      <c r="C1194" s="12">
        <v>267</v>
      </c>
      <c r="D1194" s="12">
        <v>3</v>
      </c>
    </row>
    <row r="1195" spans="1:4" ht="57.6" x14ac:dyDescent="0.3">
      <c r="A1195" s="12" t="s">
        <v>47</v>
      </c>
      <c r="B1195" s="12" t="s">
        <v>1286</v>
      </c>
      <c r="C1195" s="12">
        <v>222</v>
      </c>
      <c r="D1195" s="12">
        <v>2</v>
      </c>
    </row>
    <row r="1196" spans="1:4" ht="57.6" x14ac:dyDescent="0.3">
      <c r="A1196" s="12" t="s">
        <v>47</v>
      </c>
      <c r="B1196" s="12" t="s">
        <v>1287</v>
      </c>
      <c r="C1196" s="12">
        <v>238</v>
      </c>
      <c r="D1196" s="12">
        <v>2</v>
      </c>
    </row>
    <row r="1197" spans="1:4" ht="57.6" x14ac:dyDescent="0.3">
      <c r="A1197" s="12" t="s">
        <v>47</v>
      </c>
      <c r="B1197" s="12" t="s">
        <v>1288</v>
      </c>
      <c r="C1197" s="12">
        <v>557</v>
      </c>
      <c r="D1197" s="12">
        <v>6</v>
      </c>
    </row>
    <row r="1198" spans="1:4" ht="57.6" x14ac:dyDescent="0.3">
      <c r="A1198" s="12" t="s">
        <v>47</v>
      </c>
      <c r="B1198" s="12" t="s">
        <v>1289</v>
      </c>
      <c r="C1198" s="12">
        <v>1364</v>
      </c>
      <c r="D1198" s="12">
        <v>14</v>
      </c>
    </row>
    <row r="1199" spans="1:4" ht="57.6" x14ac:dyDescent="0.3">
      <c r="A1199" s="12" t="s">
        <v>47</v>
      </c>
      <c r="B1199" s="12" t="s">
        <v>1290</v>
      </c>
      <c r="C1199" s="12">
        <v>548</v>
      </c>
      <c r="D1199" s="12">
        <v>5</v>
      </c>
    </row>
    <row r="1200" spans="1:4" ht="43.2" x14ac:dyDescent="0.3">
      <c r="A1200" s="12" t="s">
        <v>47</v>
      </c>
      <c r="B1200" s="12" t="s">
        <v>1291</v>
      </c>
      <c r="C1200" s="12">
        <v>1243</v>
      </c>
      <c r="D1200" s="12">
        <v>12</v>
      </c>
    </row>
    <row r="1201" spans="1:4" ht="43.2" x14ac:dyDescent="0.3">
      <c r="A1201" s="12" t="s">
        <v>47</v>
      </c>
      <c r="B1201" s="12" t="s">
        <v>1292</v>
      </c>
      <c r="C1201" s="12">
        <v>714</v>
      </c>
      <c r="D1201" s="12">
        <v>7</v>
      </c>
    </row>
    <row r="1202" spans="1:4" ht="43.2" x14ac:dyDescent="0.3">
      <c r="A1202" s="12" t="s">
        <v>47</v>
      </c>
      <c r="B1202" s="12" t="s">
        <v>1293</v>
      </c>
      <c r="C1202" s="12">
        <v>1035</v>
      </c>
      <c r="D1202" s="12">
        <v>10</v>
      </c>
    </row>
    <row r="1203" spans="1:4" ht="57.6" x14ac:dyDescent="0.3">
      <c r="A1203" s="12" t="s">
        <v>48</v>
      </c>
      <c r="B1203" s="12" t="s">
        <v>1294</v>
      </c>
      <c r="C1203" s="12">
        <v>2098</v>
      </c>
      <c r="D1203" s="12">
        <v>21</v>
      </c>
    </row>
    <row r="1204" spans="1:4" ht="43.2" x14ac:dyDescent="0.3">
      <c r="A1204" s="12" t="s">
        <v>48</v>
      </c>
      <c r="B1204" s="12" t="s">
        <v>1295</v>
      </c>
      <c r="C1204" s="12">
        <v>2748</v>
      </c>
      <c r="D1204" s="12">
        <v>27</v>
      </c>
    </row>
    <row r="1205" spans="1:4" ht="28.8" x14ac:dyDescent="0.3">
      <c r="A1205" s="12" t="s">
        <v>48</v>
      </c>
      <c r="B1205" s="12" t="s">
        <v>1296</v>
      </c>
      <c r="C1205" s="12">
        <v>1751</v>
      </c>
      <c r="D1205" s="12">
        <v>18</v>
      </c>
    </row>
    <row r="1206" spans="1:4" ht="28.8" x14ac:dyDescent="0.3">
      <c r="A1206" s="12" t="s">
        <v>48</v>
      </c>
      <c r="B1206" s="12" t="s">
        <v>1297</v>
      </c>
      <c r="C1206" s="12">
        <v>1251</v>
      </c>
      <c r="D1206" s="12">
        <v>13</v>
      </c>
    </row>
    <row r="1207" spans="1:4" ht="72" x14ac:dyDescent="0.3">
      <c r="A1207" s="12" t="s">
        <v>48</v>
      </c>
      <c r="B1207" s="12" t="s">
        <v>1298</v>
      </c>
      <c r="C1207" s="12">
        <v>910</v>
      </c>
      <c r="D1207" s="12">
        <v>9</v>
      </c>
    </row>
    <row r="1208" spans="1:4" ht="72" x14ac:dyDescent="0.3">
      <c r="A1208" s="12" t="s">
        <v>48</v>
      </c>
      <c r="B1208" s="12" t="s">
        <v>1299</v>
      </c>
      <c r="C1208" s="12">
        <v>971</v>
      </c>
      <c r="D1208" s="12">
        <v>10</v>
      </c>
    </row>
    <row r="1209" spans="1:4" ht="43.2" x14ac:dyDescent="0.3">
      <c r="A1209" s="12" t="s">
        <v>48</v>
      </c>
      <c r="B1209" s="12" t="s">
        <v>1300</v>
      </c>
      <c r="C1209" s="12">
        <v>1170</v>
      </c>
      <c r="D1209" s="12">
        <v>12</v>
      </c>
    </row>
    <row r="1210" spans="1:4" ht="43.2" x14ac:dyDescent="0.3">
      <c r="A1210" s="12" t="s">
        <v>48</v>
      </c>
      <c r="B1210" s="12" t="s">
        <v>1301</v>
      </c>
      <c r="C1210" s="12">
        <v>1159</v>
      </c>
      <c r="D1210" s="12">
        <v>12</v>
      </c>
    </row>
    <row r="1211" spans="1:4" ht="43.2" x14ac:dyDescent="0.3">
      <c r="A1211" s="12" t="s">
        <v>48</v>
      </c>
      <c r="B1211" s="12" t="s">
        <v>1302</v>
      </c>
      <c r="C1211" s="12">
        <v>838</v>
      </c>
      <c r="D1211" s="12">
        <v>8</v>
      </c>
    </row>
    <row r="1212" spans="1:4" ht="43.2" x14ac:dyDescent="0.3">
      <c r="A1212" s="12" t="s">
        <v>48</v>
      </c>
      <c r="B1212" s="12" t="s">
        <v>1303</v>
      </c>
      <c r="C1212" s="12">
        <v>1378</v>
      </c>
      <c r="D1212" s="12">
        <v>14</v>
      </c>
    </row>
    <row r="1213" spans="1:4" ht="57.6" x14ac:dyDescent="0.3">
      <c r="A1213" s="12" t="s">
        <v>48</v>
      </c>
      <c r="B1213" s="12" t="s">
        <v>1304</v>
      </c>
      <c r="C1213" s="12">
        <v>1138</v>
      </c>
      <c r="D1213" s="12">
        <v>11</v>
      </c>
    </row>
    <row r="1214" spans="1:4" ht="43.2" x14ac:dyDescent="0.3">
      <c r="A1214" s="12" t="s">
        <v>48</v>
      </c>
      <c r="B1214" s="12" t="s">
        <v>1305</v>
      </c>
      <c r="C1214" s="12">
        <v>1025</v>
      </c>
      <c r="D1214" s="12">
        <v>10</v>
      </c>
    </row>
    <row r="1215" spans="1:4" ht="43.2" x14ac:dyDescent="0.3">
      <c r="A1215" s="12" t="s">
        <v>48</v>
      </c>
      <c r="B1215" s="12" t="s">
        <v>1306</v>
      </c>
      <c r="C1215" s="12">
        <v>1229</v>
      </c>
      <c r="D1215" s="12">
        <v>12</v>
      </c>
    </row>
    <row r="1216" spans="1:4" ht="28.8" x14ac:dyDescent="0.3">
      <c r="A1216" s="12" t="s">
        <v>49</v>
      </c>
      <c r="B1216" s="12" t="s">
        <v>1307</v>
      </c>
      <c r="C1216" s="12">
        <v>625</v>
      </c>
      <c r="D1216" s="12">
        <v>6</v>
      </c>
    </row>
    <row r="1217" spans="1:4" ht="43.2" x14ac:dyDescent="0.3">
      <c r="A1217" s="12" t="s">
        <v>49</v>
      </c>
      <c r="B1217" s="12" t="s">
        <v>1308</v>
      </c>
      <c r="C1217" s="12">
        <v>296</v>
      </c>
      <c r="D1217" s="12">
        <v>3</v>
      </c>
    </row>
    <row r="1218" spans="1:4" ht="43.2" x14ac:dyDescent="0.3">
      <c r="A1218" s="12" t="s">
        <v>49</v>
      </c>
      <c r="B1218" s="12" t="s">
        <v>1309</v>
      </c>
      <c r="C1218" s="12">
        <v>324</v>
      </c>
      <c r="D1218" s="12">
        <v>3</v>
      </c>
    </row>
    <row r="1219" spans="1:4" ht="43.2" x14ac:dyDescent="0.3">
      <c r="A1219" s="12" t="s">
        <v>49</v>
      </c>
      <c r="B1219" s="12" t="s">
        <v>1310</v>
      </c>
      <c r="C1219" s="12">
        <v>520</v>
      </c>
      <c r="D1219" s="12">
        <v>5</v>
      </c>
    </row>
    <row r="1220" spans="1:4" ht="43.2" x14ac:dyDescent="0.3">
      <c r="A1220" s="12" t="s">
        <v>49</v>
      </c>
      <c r="B1220" s="12" t="s">
        <v>1311</v>
      </c>
      <c r="C1220" s="12">
        <v>425</v>
      </c>
      <c r="D1220" s="12">
        <v>4</v>
      </c>
    </row>
    <row r="1221" spans="1:4" ht="43.2" x14ac:dyDescent="0.3">
      <c r="A1221" s="12" t="s">
        <v>49</v>
      </c>
      <c r="B1221" s="12" t="s">
        <v>1312</v>
      </c>
      <c r="C1221" s="12">
        <v>559</v>
      </c>
      <c r="D1221" s="12">
        <v>6</v>
      </c>
    </row>
    <row r="1222" spans="1:4" ht="43.2" x14ac:dyDescent="0.3">
      <c r="A1222" s="12" t="s">
        <v>49</v>
      </c>
      <c r="B1222" s="12" t="s">
        <v>1313</v>
      </c>
      <c r="C1222" s="12">
        <v>246</v>
      </c>
      <c r="D1222" s="12">
        <v>2</v>
      </c>
    </row>
    <row r="1223" spans="1:4" ht="28.8" x14ac:dyDescent="0.3">
      <c r="A1223" s="12" t="s">
        <v>49</v>
      </c>
      <c r="B1223" s="12" t="s">
        <v>1314</v>
      </c>
      <c r="C1223" s="12">
        <v>7</v>
      </c>
      <c r="D1223" s="12">
        <v>1</v>
      </c>
    </row>
    <row r="1224" spans="1:4" x14ac:dyDescent="0.3">
      <c r="A1224" s="12" t="s">
        <v>49</v>
      </c>
      <c r="B1224" s="12" t="s">
        <v>1315</v>
      </c>
      <c r="C1224" s="12">
        <v>66</v>
      </c>
      <c r="D1224" s="12">
        <v>1</v>
      </c>
    </row>
    <row r="1225" spans="1:4" ht="28.8" x14ac:dyDescent="0.3">
      <c r="A1225" s="12" t="s">
        <v>49</v>
      </c>
      <c r="B1225" s="12" t="s">
        <v>1316</v>
      </c>
      <c r="C1225" s="12">
        <v>608</v>
      </c>
      <c r="D1225" s="12">
        <v>6</v>
      </c>
    </row>
    <row r="1226" spans="1:4" ht="28.8" x14ac:dyDescent="0.3">
      <c r="A1226" s="12" t="s">
        <v>49</v>
      </c>
      <c r="B1226" s="12" t="s">
        <v>1317</v>
      </c>
      <c r="C1226" s="12">
        <v>725</v>
      </c>
      <c r="D1226" s="12">
        <v>7</v>
      </c>
    </row>
    <row r="1227" spans="1:4" ht="43.2" x14ac:dyDescent="0.3">
      <c r="A1227" s="12" t="s">
        <v>49</v>
      </c>
      <c r="B1227" s="12" t="s">
        <v>1318</v>
      </c>
      <c r="C1227" s="12">
        <v>491</v>
      </c>
      <c r="D1227" s="12">
        <v>5</v>
      </c>
    </row>
    <row r="1228" spans="1:4" ht="28.8" x14ac:dyDescent="0.3">
      <c r="A1228" s="12" t="s">
        <v>49</v>
      </c>
      <c r="B1228" s="12" t="s">
        <v>1319</v>
      </c>
      <c r="C1228" s="12">
        <v>249</v>
      </c>
      <c r="D1228" s="12">
        <v>2</v>
      </c>
    </row>
    <row r="1229" spans="1:4" ht="28.8" x14ac:dyDescent="0.3">
      <c r="A1229" s="12" t="s">
        <v>49</v>
      </c>
      <c r="B1229" s="12" t="s">
        <v>1320</v>
      </c>
      <c r="C1229" s="12">
        <v>186</v>
      </c>
      <c r="D1229" s="12">
        <v>2</v>
      </c>
    </row>
    <row r="1230" spans="1:4" ht="28.8" x14ac:dyDescent="0.3">
      <c r="A1230" s="12" t="s">
        <v>49</v>
      </c>
      <c r="B1230" s="12" t="s">
        <v>1321</v>
      </c>
      <c r="C1230" s="12">
        <v>45</v>
      </c>
      <c r="D1230" s="12">
        <v>1</v>
      </c>
    </row>
    <row r="1231" spans="1:4" ht="43.2" x14ac:dyDescent="0.3">
      <c r="A1231" s="12" t="s">
        <v>49</v>
      </c>
      <c r="B1231" s="12" t="s">
        <v>1322</v>
      </c>
      <c r="C1231" s="12">
        <v>297</v>
      </c>
      <c r="D1231" s="12">
        <v>3</v>
      </c>
    </row>
    <row r="1232" spans="1:4" ht="28.8" x14ac:dyDescent="0.3">
      <c r="A1232" s="12" t="s">
        <v>49</v>
      </c>
      <c r="B1232" s="12" t="s">
        <v>1323</v>
      </c>
      <c r="C1232" s="12">
        <v>307</v>
      </c>
      <c r="D1232" s="12">
        <v>3</v>
      </c>
    </row>
    <row r="1233" spans="1:4" ht="28.8" x14ac:dyDescent="0.3">
      <c r="A1233" s="12" t="s">
        <v>49</v>
      </c>
      <c r="B1233" s="12" t="s">
        <v>1324</v>
      </c>
      <c r="C1233" s="12">
        <v>1011</v>
      </c>
      <c r="D1233" s="12">
        <v>10</v>
      </c>
    </row>
    <row r="1234" spans="1:4" ht="43.2" x14ac:dyDescent="0.3">
      <c r="A1234" s="12" t="s">
        <v>49</v>
      </c>
      <c r="B1234" s="12" t="s">
        <v>1325</v>
      </c>
      <c r="C1234" s="12">
        <v>878</v>
      </c>
      <c r="D1234" s="12">
        <v>9</v>
      </c>
    </row>
    <row r="1235" spans="1:4" ht="43.2" x14ac:dyDescent="0.3">
      <c r="A1235" s="12" t="s">
        <v>49</v>
      </c>
      <c r="B1235" s="12" t="s">
        <v>1326</v>
      </c>
      <c r="C1235" s="12">
        <v>697</v>
      </c>
      <c r="D1235" s="12">
        <v>7</v>
      </c>
    </row>
    <row r="1236" spans="1:4" x14ac:dyDescent="0.3">
      <c r="A1236" s="12" t="s">
        <v>49</v>
      </c>
      <c r="B1236" s="12" t="s">
        <v>1327</v>
      </c>
      <c r="C1236" s="12">
        <v>608</v>
      </c>
      <c r="D1236" s="12">
        <v>6</v>
      </c>
    </row>
    <row r="1237" spans="1:4" ht="28.8" x14ac:dyDescent="0.3">
      <c r="A1237" s="12" t="s">
        <v>49</v>
      </c>
      <c r="B1237" s="12" t="s">
        <v>1328</v>
      </c>
      <c r="C1237" s="12">
        <v>248</v>
      </c>
      <c r="D1237" s="12">
        <v>2</v>
      </c>
    </row>
    <row r="1238" spans="1:4" ht="43.2" x14ac:dyDescent="0.3">
      <c r="A1238" s="12" t="s">
        <v>49</v>
      </c>
      <c r="B1238" s="12" t="s">
        <v>1329</v>
      </c>
      <c r="C1238" s="12">
        <v>648</v>
      </c>
      <c r="D1238" s="12">
        <v>6</v>
      </c>
    </row>
    <row r="1239" spans="1:4" ht="57.6" x14ac:dyDescent="0.3">
      <c r="A1239" s="12" t="s">
        <v>49</v>
      </c>
      <c r="B1239" s="12" t="s">
        <v>1330</v>
      </c>
      <c r="C1239" s="12">
        <v>251</v>
      </c>
      <c r="D1239" s="12">
        <v>3</v>
      </c>
    </row>
    <row r="1240" spans="1:4" ht="57.6" x14ac:dyDescent="0.3">
      <c r="A1240" s="12" t="s">
        <v>49</v>
      </c>
      <c r="B1240" s="12" t="s">
        <v>1331</v>
      </c>
      <c r="C1240" s="12">
        <v>534</v>
      </c>
      <c r="D1240" s="12">
        <v>5</v>
      </c>
    </row>
    <row r="1241" spans="1:4" ht="57.6" x14ac:dyDescent="0.3">
      <c r="A1241" s="12" t="s">
        <v>49</v>
      </c>
      <c r="B1241" s="12" t="s">
        <v>1332</v>
      </c>
      <c r="C1241" s="12">
        <v>761</v>
      </c>
      <c r="D1241" s="12">
        <v>8</v>
      </c>
    </row>
    <row r="1242" spans="1:4" ht="57.6" x14ac:dyDescent="0.3">
      <c r="A1242" s="12" t="s">
        <v>49</v>
      </c>
      <c r="B1242" s="12" t="s">
        <v>1333</v>
      </c>
      <c r="C1242" s="12">
        <v>629</v>
      </c>
      <c r="D1242" s="12">
        <v>6</v>
      </c>
    </row>
    <row r="1243" spans="1:4" ht="57.6" x14ac:dyDescent="0.3">
      <c r="A1243" s="12" t="s">
        <v>49</v>
      </c>
      <c r="B1243" s="12" t="s">
        <v>1334</v>
      </c>
      <c r="C1243" s="12">
        <v>527</v>
      </c>
      <c r="D1243" s="12">
        <v>5</v>
      </c>
    </row>
    <row r="1244" spans="1:4" ht="28.8" x14ac:dyDescent="0.3">
      <c r="A1244" s="12" t="s">
        <v>49</v>
      </c>
      <c r="B1244" s="12" t="s">
        <v>252</v>
      </c>
      <c r="C1244" s="12">
        <v>93</v>
      </c>
      <c r="D1244" s="12">
        <v>1</v>
      </c>
    </row>
    <row r="1245" spans="1:4" ht="28.8" x14ac:dyDescent="0.3">
      <c r="A1245" s="12" t="s">
        <v>50</v>
      </c>
      <c r="B1245" s="12" t="s">
        <v>1335</v>
      </c>
      <c r="C1245" s="12">
        <v>425</v>
      </c>
      <c r="D1245" s="12">
        <v>4</v>
      </c>
    </row>
    <row r="1246" spans="1:4" ht="43.2" x14ac:dyDescent="0.3">
      <c r="A1246" s="12" t="s">
        <v>50</v>
      </c>
      <c r="B1246" s="12" t="s">
        <v>1336</v>
      </c>
      <c r="C1246" s="12">
        <v>831</v>
      </c>
      <c r="D1246" s="12">
        <v>8</v>
      </c>
    </row>
    <row r="1247" spans="1:4" ht="28.8" x14ac:dyDescent="0.3">
      <c r="A1247" s="12" t="s">
        <v>50</v>
      </c>
      <c r="B1247" s="12" t="s">
        <v>1337</v>
      </c>
      <c r="C1247" s="12">
        <v>258</v>
      </c>
      <c r="D1247" s="12">
        <v>3</v>
      </c>
    </row>
    <row r="1248" spans="1:4" ht="43.2" x14ac:dyDescent="0.3">
      <c r="A1248" s="12" t="s">
        <v>50</v>
      </c>
      <c r="B1248" s="12" t="s">
        <v>1338</v>
      </c>
      <c r="C1248" s="12">
        <v>357</v>
      </c>
      <c r="D1248" s="12">
        <v>4</v>
      </c>
    </row>
    <row r="1249" spans="1:4" ht="57.6" x14ac:dyDescent="0.3">
      <c r="A1249" s="12" t="s">
        <v>50</v>
      </c>
      <c r="B1249" s="12" t="s">
        <v>1339</v>
      </c>
      <c r="C1249" s="12">
        <v>171</v>
      </c>
      <c r="D1249" s="12">
        <v>2</v>
      </c>
    </row>
    <row r="1250" spans="1:4" ht="28.8" x14ac:dyDescent="0.3">
      <c r="A1250" s="12" t="s">
        <v>50</v>
      </c>
      <c r="B1250" s="12" t="s">
        <v>1340</v>
      </c>
      <c r="C1250" s="12">
        <v>925</v>
      </c>
      <c r="D1250" s="12">
        <v>9</v>
      </c>
    </row>
    <row r="1251" spans="1:4" ht="28.8" x14ac:dyDescent="0.3">
      <c r="A1251" s="12" t="s">
        <v>50</v>
      </c>
      <c r="B1251" s="12" t="s">
        <v>1341</v>
      </c>
      <c r="C1251" s="12">
        <v>267</v>
      </c>
      <c r="D1251" s="12">
        <v>3</v>
      </c>
    </row>
    <row r="1252" spans="1:4" ht="43.2" x14ac:dyDescent="0.3">
      <c r="A1252" s="12" t="s">
        <v>50</v>
      </c>
      <c r="B1252" s="12" t="s">
        <v>1342</v>
      </c>
      <c r="C1252" s="12">
        <v>540</v>
      </c>
      <c r="D1252" s="12">
        <v>5</v>
      </c>
    </row>
    <row r="1253" spans="1:4" ht="43.2" x14ac:dyDescent="0.3">
      <c r="A1253" s="12" t="s">
        <v>50</v>
      </c>
      <c r="B1253" s="12" t="s">
        <v>1343</v>
      </c>
      <c r="C1253" s="12">
        <v>554</v>
      </c>
      <c r="D1253" s="12">
        <v>6</v>
      </c>
    </row>
    <row r="1254" spans="1:4" ht="43.2" x14ac:dyDescent="0.3">
      <c r="A1254" s="12" t="s">
        <v>50</v>
      </c>
      <c r="B1254" s="12" t="s">
        <v>1344</v>
      </c>
      <c r="C1254" s="12">
        <v>558</v>
      </c>
      <c r="D1254" s="12">
        <v>6</v>
      </c>
    </row>
    <row r="1255" spans="1:4" ht="43.2" x14ac:dyDescent="0.3">
      <c r="A1255" s="12" t="s">
        <v>50</v>
      </c>
      <c r="B1255" s="12" t="s">
        <v>1345</v>
      </c>
      <c r="C1255" s="12">
        <v>667</v>
      </c>
      <c r="D1255" s="12">
        <v>7</v>
      </c>
    </row>
    <row r="1256" spans="1:4" ht="28.8" x14ac:dyDescent="0.3">
      <c r="A1256" s="12" t="s">
        <v>50</v>
      </c>
      <c r="B1256" s="12" t="s">
        <v>1346</v>
      </c>
      <c r="C1256" s="12">
        <v>1101</v>
      </c>
      <c r="D1256" s="12">
        <v>11</v>
      </c>
    </row>
    <row r="1257" spans="1:4" ht="43.2" x14ac:dyDescent="0.3">
      <c r="A1257" s="12" t="s">
        <v>50</v>
      </c>
      <c r="B1257" s="12" t="s">
        <v>1347</v>
      </c>
      <c r="C1257" s="12">
        <v>1358</v>
      </c>
      <c r="D1257" s="12">
        <v>14</v>
      </c>
    </row>
    <row r="1258" spans="1:4" ht="28.8" x14ac:dyDescent="0.3">
      <c r="A1258" s="12" t="s">
        <v>50</v>
      </c>
      <c r="B1258" s="12" t="s">
        <v>1348</v>
      </c>
      <c r="C1258" s="12">
        <v>513</v>
      </c>
      <c r="D1258" s="12">
        <v>5</v>
      </c>
    </row>
    <row r="1259" spans="1:4" ht="43.2" x14ac:dyDescent="0.3">
      <c r="A1259" s="12" t="s">
        <v>50</v>
      </c>
      <c r="B1259" s="12" t="s">
        <v>1349</v>
      </c>
      <c r="C1259" s="12">
        <v>332</v>
      </c>
      <c r="D1259" s="12">
        <v>3</v>
      </c>
    </row>
    <row r="1260" spans="1:4" ht="57.6" x14ac:dyDescent="0.3">
      <c r="A1260" s="12" t="s">
        <v>50</v>
      </c>
      <c r="B1260" s="12" t="s">
        <v>1350</v>
      </c>
      <c r="C1260" s="12">
        <v>926</v>
      </c>
      <c r="D1260" s="12">
        <v>9</v>
      </c>
    </row>
    <row r="1261" spans="1:4" ht="57.6" x14ac:dyDescent="0.3">
      <c r="A1261" s="12" t="s">
        <v>50</v>
      </c>
      <c r="B1261" s="12" t="s">
        <v>1351</v>
      </c>
      <c r="C1261" s="12">
        <v>895</v>
      </c>
      <c r="D1261" s="12">
        <v>9</v>
      </c>
    </row>
    <row r="1262" spans="1:4" ht="57.6" x14ac:dyDescent="0.3">
      <c r="A1262" s="12" t="s">
        <v>50</v>
      </c>
      <c r="B1262" s="12" t="s">
        <v>1352</v>
      </c>
      <c r="C1262" s="12">
        <v>997</v>
      </c>
      <c r="D1262" s="12">
        <v>10</v>
      </c>
    </row>
    <row r="1263" spans="1:4" ht="43.2" x14ac:dyDescent="0.3">
      <c r="A1263" s="12" t="s">
        <v>50</v>
      </c>
      <c r="B1263" s="12" t="s">
        <v>1353</v>
      </c>
      <c r="C1263" s="12">
        <v>828</v>
      </c>
      <c r="D1263" s="12">
        <v>8</v>
      </c>
    </row>
    <row r="1264" spans="1:4" ht="28.8" x14ac:dyDescent="0.3">
      <c r="A1264" s="12" t="s">
        <v>50</v>
      </c>
      <c r="B1264" s="12" t="s">
        <v>1354</v>
      </c>
      <c r="C1264" s="12">
        <v>712</v>
      </c>
      <c r="D1264" s="12">
        <v>7</v>
      </c>
    </row>
    <row r="1265" spans="1:4" ht="28.8" x14ac:dyDescent="0.3">
      <c r="A1265" s="12" t="s">
        <v>50</v>
      </c>
      <c r="B1265" s="12" t="s">
        <v>1355</v>
      </c>
      <c r="C1265" s="12">
        <v>724</v>
      </c>
      <c r="D1265" s="12">
        <v>7</v>
      </c>
    </row>
    <row r="1266" spans="1:4" ht="57.6" x14ac:dyDescent="0.3">
      <c r="A1266" s="12" t="s">
        <v>50</v>
      </c>
      <c r="B1266" s="12" t="s">
        <v>1356</v>
      </c>
      <c r="C1266" s="12">
        <v>694</v>
      </c>
      <c r="D1266" s="12">
        <v>7</v>
      </c>
    </row>
    <row r="1267" spans="1:4" ht="43.2" x14ac:dyDescent="0.3">
      <c r="A1267" s="12" t="s">
        <v>50</v>
      </c>
      <c r="B1267" s="12" t="s">
        <v>1357</v>
      </c>
      <c r="C1267" s="12">
        <v>268</v>
      </c>
      <c r="D1267" s="12">
        <v>3</v>
      </c>
    </row>
    <row r="1268" spans="1:4" ht="43.2" x14ac:dyDescent="0.3">
      <c r="A1268" s="12" t="s">
        <v>50</v>
      </c>
      <c r="B1268" s="12" t="s">
        <v>1358</v>
      </c>
      <c r="C1268" s="12">
        <v>798</v>
      </c>
      <c r="D1268" s="12">
        <v>8</v>
      </c>
    </row>
    <row r="1269" spans="1:4" ht="43.2" x14ac:dyDescent="0.3">
      <c r="A1269" s="12" t="s">
        <v>50</v>
      </c>
      <c r="B1269" s="12" t="s">
        <v>1359</v>
      </c>
      <c r="C1269" s="12">
        <v>870</v>
      </c>
      <c r="D1269" s="12">
        <v>9</v>
      </c>
    </row>
    <row r="1270" spans="1:4" ht="43.2" x14ac:dyDescent="0.3">
      <c r="A1270" s="12" t="s">
        <v>50</v>
      </c>
      <c r="B1270" s="12" t="s">
        <v>1360</v>
      </c>
      <c r="C1270" s="12">
        <v>504</v>
      </c>
      <c r="D1270" s="12">
        <v>5</v>
      </c>
    </row>
    <row r="1271" spans="1:4" ht="43.2" x14ac:dyDescent="0.3">
      <c r="A1271" s="12" t="s">
        <v>50</v>
      </c>
      <c r="B1271" s="12" t="s">
        <v>522</v>
      </c>
      <c r="C1271" s="12">
        <v>626</v>
      </c>
      <c r="D1271" s="12">
        <v>6</v>
      </c>
    </row>
    <row r="1272" spans="1:4" ht="28.8" x14ac:dyDescent="0.3">
      <c r="A1272" s="12" t="s">
        <v>50</v>
      </c>
      <c r="B1272" s="12" t="s">
        <v>1361</v>
      </c>
      <c r="C1272" s="12">
        <v>648</v>
      </c>
      <c r="D1272" s="12">
        <v>6</v>
      </c>
    </row>
    <row r="1273" spans="1:4" ht="28.8" x14ac:dyDescent="0.3">
      <c r="A1273" s="12" t="s">
        <v>50</v>
      </c>
      <c r="B1273" s="12" t="s">
        <v>1362</v>
      </c>
      <c r="C1273" s="12">
        <v>703</v>
      </c>
      <c r="D1273" s="12">
        <v>7</v>
      </c>
    </row>
    <row r="1274" spans="1:4" ht="28.8" x14ac:dyDescent="0.3">
      <c r="A1274" s="12" t="s">
        <v>50</v>
      </c>
      <c r="B1274" s="12" t="s">
        <v>1363</v>
      </c>
      <c r="C1274" s="12">
        <v>262</v>
      </c>
      <c r="D1274" s="12">
        <v>3</v>
      </c>
    </row>
    <row r="1275" spans="1:4" x14ac:dyDescent="0.3">
      <c r="A1275" s="12" t="s">
        <v>50</v>
      </c>
      <c r="B1275" s="12" t="s">
        <v>1364</v>
      </c>
      <c r="C1275" s="12">
        <v>640</v>
      </c>
      <c r="D1275" s="12">
        <v>6</v>
      </c>
    </row>
    <row r="1276" spans="1:4" ht="43.2" x14ac:dyDescent="0.3">
      <c r="A1276" s="12" t="s">
        <v>50</v>
      </c>
      <c r="B1276" s="12" t="s">
        <v>1365</v>
      </c>
      <c r="C1276" s="12">
        <v>546</v>
      </c>
      <c r="D1276" s="12">
        <v>5</v>
      </c>
    </row>
    <row r="1277" spans="1:4" ht="43.2" x14ac:dyDescent="0.3">
      <c r="A1277" s="12" t="s">
        <v>50</v>
      </c>
      <c r="B1277" s="12" t="s">
        <v>1366</v>
      </c>
      <c r="C1277" s="12">
        <v>904</v>
      </c>
      <c r="D1277" s="12">
        <v>9</v>
      </c>
    </row>
    <row r="1278" spans="1:4" ht="43.2" x14ac:dyDescent="0.3">
      <c r="A1278" s="12" t="s">
        <v>50</v>
      </c>
      <c r="B1278" s="12" t="s">
        <v>1367</v>
      </c>
      <c r="C1278" s="12">
        <v>319</v>
      </c>
      <c r="D1278" s="12">
        <v>3</v>
      </c>
    </row>
    <row r="1279" spans="1:4" ht="43.2" x14ac:dyDescent="0.3">
      <c r="A1279" s="12" t="s">
        <v>50</v>
      </c>
      <c r="B1279" s="12" t="s">
        <v>1368</v>
      </c>
      <c r="C1279" s="12">
        <v>738</v>
      </c>
      <c r="D1279" s="12">
        <v>7</v>
      </c>
    </row>
    <row r="1280" spans="1:4" ht="43.2" x14ac:dyDescent="0.3">
      <c r="A1280" s="12" t="s">
        <v>51</v>
      </c>
      <c r="B1280" s="12" t="s">
        <v>1369</v>
      </c>
      <c r="C1280" s="12">
        <v>930</v>
      </c>
      <c r="D1280" s="12">
        <v>9</v>
      </c>
    </row>
    <row r="1281" spans="1:4" ht="43.2" x14ac:dyDescent="0.3">
      <c r="A1281" s="12" t="s">
        <v>51</v>
      </c>
      <c r="B1281" s="12" t="s">
        <v>1370</v>
      </c>
      <c r="C1281" s="12">
        <v>681</v>
      </c>
      <c r="D1281" s="12">
        <v>7</v>
      </c>
    </row>
    <row r="1282" spans="1:4" ht="43.2" x14ac:dyDescent="0.3">
      <c r="A1282" s="12" t="s">
        <v>51</v>
      </c>
      <c r="B1282" s="12" t="s">
        <v>1371</v>
      </c>
      <c r="C1282" s="12">
        <v>819</v>
      </c>
      <c r="D1282" s="12">
        <v>8</v>
      </c>
    </row>
    <row r="1283" spans="1:4" ht="43.2" x14ac:dyDescent="0.3">
      <c r="A1283" s="12" t="s">
        <v>51</v>
      </c>
      <c r="B1283" s="12" t="s">
        <v>1372</v>
      </c>
      <c r="C1283" s="12">
        <v>252</v>
      </c>
      <c r="D1283" s="12">
        <v>3</v>
      </c>
    </row>
    <row r="1284" spans="1:4" ht="28.8" x14ac:dyDescent="0.3">
      <c r="A1284" s="12" t="s">
        <v>51</v>
      </c>
      <c r="B1284" s="12" t="s">
        <v>1373</v>
      </c>
      <c r="C1284" s="12">
        <v>295</v>
      </c>
      <c r="D1284" s="12">
        <v>3</v>
      </c>
    </row>
    <row r="1285" spans="1:4" x14ac:dyDescent="0.3">
      <c r="A1285" s="12" t="s">
        <v>51</v>
      </c>
      <c r="B1285" s="12" t="s">
        <v>1374</v>
      </c>
      <c r="C1285" s="12">
        <v>162</v>
      </c>
      <c r="D1285" s="12">
        <v>2</v>
      </c>
    </row>
    <row r="1286" spans="1:4" ht="43.2" x14ac:dyDescent="0.3">
      <c r="A1286" s="12" t="s">
        <v>51</v>
      </c>
      <c r="B1286" s="12" t="s">
        <v>1375</v>
      </c>
      <c r="C1286" s="12">
        <v>312</v>
      </c>
      <c r="D1286" s="12">
        <v>3</v>
      </c>
    </row>
    <row r="1287" spans="1:4" ht="43.2" x14ac:dyDescent="0.3">
      <c r="A1287" s="12" t="s">
        <v>51</v>
      </c>
      <c r="B1287" s="12" t="s">
        <v>1376</v>
      </c>
      <c r="C1287" s="12">
        <v>95</v>
      </c>
      <c r="D1287" s="12">
        <v>1</v>
      </c>
    </row>
    <row r="1288" spans="1:4" ht="57.6" x14ac:dyDescent="0.3">
      <c r="A1288" s="12" t="s">
        <v>51</v>
      </c>
      <c r="B1288" s="12" t="s">
        <v>1377</v>
      </c>
      <c r="C1288" s="12">
        <v>1207</v>
      </c>
      <c r="D1288" s="12">
        <v>12</v>
      </c>
    </row>
    <row r="1289" spans="1:4" ht="57.6" x14ac:dyDescent="0.3">
      <c r="A1289" s="12" t="s">
        <v>51</v>
      </c>
      <c r="B1289" s="12" t="s">
        <v>1378</v>
      </c>
      <c r="C1289" s="12">
        <v>576</v>
      </c>
      <c r="D1289" s="12">
        <v>6</v>
      </c>
    </row>
    <row r="1290" spans="1:4" ht="28.8" x14ac:dyDescent="0.3">
      <c r="A1290" s="12" t="s">
        <v>51</v>
      </c>
      <c r="B1290" s="12" t="s">
        <v>1379</v>
      </c>
      <c r="C1290" s="12">
        <v>349</v>
      </c>
      <c r="D1290" s="12">
        <v>3</v>
      </c>
    </row>
    <row r="1291" spans="1:4" x14ac:dyDescent="0.3">
      <c r="A1291" s="12" t="s">
        <v>51</v>
      </c>
      <c r="B1291" s="12" t="s">
        <v>1068</v>
      </c>
      <c r="C1291" s="12">
        <v>395</v>
      </c>
      <c r="D1291" s="12">
        <v>4</v>
      </c>
    </row>
    <row r="1292" spans="1:4" ht="28.8" x14ac:dyDescent="0.3">
      <c r="A1292" s="12" t="s">
        <v>51</v>
      </c>
      <c r="B1292" s="12" t="s">
        <v>1380</v>
      </c>
      <c r="C1292" s="12">
        <v>603</v>
      </c>
      <c r="D1292" s="12">
        <v>6</v>
      </c>
    </row>
    <row r="1293" spans="1:4" ht="43.2" x14ac:dyDescent="0.3">
      <c r="A1293" s="12" t="s">
        <v>52</v>
      </c>
      <c r="B1293" s="12" t="s">
        <v>1381</v>
      </c>
      <c r="C1293" s="12">
        <v>105</v>
      </c>
      <c r="D1293" s="12">
        <v>1</v>
      </c>
    </row>
    <row r="1294" spans="1:4" ht="28.8" x14ac:dyDescent="0.3">
      <c r="A1294" s="12" t="s">
        <v>52</v>
      </c>
      <c r="B1294" s="12" t="s">
        <v>1082</v>
      </c>
      <c r="C1294" s="12">
        <v>604</v>
      </c>
      <c r="D1294" s="12">
        <v>6</v>
      </c>
    </row>
    <row r="1295" spans="1:4" ht="28.8" x14ac:dyDescent="0.3">
      <c r="A1295" s="12" t="s">
        <v>52</v>
      </c>
      <c r="B1295" s="12" t="s">
        <v>1382</v>
      </c>
      <c r="C1295" s="12">
        <v>342</v>
      </c>
      <c r="D1295" s="12">
        <v>3</v>
      </c>
    </row>
    <row r="1296" spans="1:4" ht="28.8" x14ac:dyDescent="0.3">
      <c r="A1296" s="12" t="s">
        <v>52</v>
      </c>
      <c r="B1296" s="12" t="s">
        <v>1383</v>
      </c>
      <c r="C1296" s="12">
        <v>281</v>
      </c>
      <c r="D1296" s="12">
        <v>3</v>
      </c>
    </row>
    <row r="1297" spans="1:4" ht="28.8" x14ac:dyDescent="0.3">
      <c r="A1297" s="12" t="s">
        <v>52</v>
      </c>
      <c r="B1297" s="12" t="s">
        <v>1384</v>
      </c>
      <c r="C1297" s="12">
        <v>492</v>
      </c>
      <c r="D1297" s="12">
        <v>5</v>
      </c>
    </row>
    <row r="1298" spans="1:4" ht="28.8" x14ac:dyDescent="0.3">
      <c r="A1298" s="12" t="s">
        <v>52</v>
      </c>
      <c r="B1298" s="12" t="s">
        <v>1385</v>
      </c>
      <c r="C1298" s="12">
        <v>738</v>
      </c>
      <c r="D1298" s="12">
        <v>7</v>
      </c>
    </row>
    <row r="1299" spans="1:4" ht="28.8" x14ac:dyDescent="0.3">
      <c r="A1299" s="12" t="s">
        <v>52</v>
      </c>
      <c r="B1299" s="12" t="s">
        <v>1386</v>
      </c>
      <c r="C1299" s="12">
        <v>1168</v>
      </c>
      <c r="D1299" s="12">
        <v>12</v>
      </c>
    </row>
    <row r="1300" spans="1:4" ht="43.2" x14ac:dyDescent="0.3">
      <c r="A1300" s="12" t="s">
        <v>52</v>
      </c>
      <c r="B1300" s="12" t="s">
        <v>1387</v>
      </c>
      <c r="C1300" s="12">
        <v>657</v>
      </c>
      <c r="D1300" s="12">
        <v>7</v>
      </c>
    </row>
    <row r="1301" spans="1:4" ht="43.2" x14ac:dyDescent="0.3">
      <c r="A1301" s="12" t="s">
        <v>52</v>
      </c>
      <c r="B1301" s="12" t="s">
        <v>1388</v>
      </c>
      <c r="C1301" s="12">
        <v>321</v>
      </c>
      <c r="D1301" s="12">
        <v>3</v>
      </c>
    </row>
    <row r="1302" spans="1:4" ht="43.2" x14ac:dyDescent="0.3">
      <c r="A1302" s="12" t="s">
        <v>52</v>
      </c>
      <c r="B1302" s="12" t="s">
        <v>1389</v>
      </c>
      <c r="C1302" s="12">
        <v>1263</v>
      </c>
      <c r="D1302" s="12">
        <v>13</v>
      </c>
    </row>
    <row r="1303" spans="1:4" ht="43.2" x14ac:dyDescent="0.3">
      <c r="A1303" s="12" t="s">
        <v>52</v>
      </c>
      <c r="B1303" s="12" t="s">
        <v>1390</v>
      </c>
      <c r="C1303" s="12">
        <v>672</v>
      </c>
      <c r="D1303" s="12">
        <v>7</v>
      </c>
    </row>
    <row r="1304" spans="1:4" ht="43.2" x14ac:dyDescent="0.3">
      <c r="A1304" s="12" t="s">
        <v>52</v>
      </c>
      <c r="B1304" s="12" t="s">
        <v>1391</v>
      </c>
      <c r="C1304" s="12">
        <v>485</v>
      </c>
      <c r="D1304" s="12">
        <v>5</v>
      </c>
    </row>
    <row r="1305" spans="1:4" ht="43.2" x14ac:dyDescent="0.3">
      <c r="A1305" s="12" t="s">
        <v>52</v>
      </c>
      <c r="B1305" s="12" t="s">
        <v>827</v>
      </c>
      <c r="C1305" s="12">
        <v>828</v>
      </c>
      <c r="D1305" s="12">
        <v>8</v>
      </c>
    </row>
    <row r="1306" spans="1:4" ht="43.2" x14ac:dyDescent="0.3">
      <c r="A1306" s="12" t="s">
        <v>52</v>
      </c>
      <c r="B1306" s="12" t="s">
        <v>1392</v>
      </c>
      <c r="C1306" s="12">
        <v>318</v>
      </c>
      <c r="D1306" s="12">
        <v>3</v>
      </c>
    </row>
    <row r="1307" spans="1:4" ht="28.8" x14ac:dyDescent="0.3">
      <c r="A1307" s="12" t="s">
        <v>52</v>
      </c>
      <c r="B1307" s="12" t="s">
        <v>1393</v>
      </c>
      <c r="C1307" s="12">
        <v>1414</v>
      </c>
      <c r="D1307" s="12">
        <v>14</v>
      </c>
    </row>
    <row r="1308" spans="1:4" ht="43.2" x14ac:dyDescent="0.3">
      <c r="A1308" s="12" t="s">
        <v>53</v>
      </c>
      <c r="B1308" s="12" t="s">
        <v>1394</v>
      </c>
      <c r="C1308" s="12">
        <v>24</v>
      </c>
      <c r="D1308" s="12">
        <v>1</v>
      </c>
    </row>
    <row r="1309" spans="1:4" ht="43.2" x14ac:dyDescent="0.3">
      <c r="A1309" s="12" t="s">
        <v>53</v>
      </c>
      <c r="B1309" s="12" t="s">
        <v>1395</v>
      </c>
      <c r="C1309" s="12">
        <v>126</v>
      </c>
      <c r="D1309" s="12">
        <v>1</v>
      </c>
    </row>
    <row r="1310" spans="1:4" ht="43.2" x14ac:dyDescent="0.3">
      <c r="A1310" s="12" t="s">
        <v>53</v>
      </c>
      <c r="B1310" s="12" t="s">
        <v>1396</v>
      </c>
      <c r="C1310" s="12">
        <v>78</v>
      </c>
      <c r="D1310" s="12">
        <v>1</v>
      </c>
    </row>
    <row r="1311" spans="1:4" ht="28.8" x14ac:dyDescent="0.3">
      <c r="A1311" s="12" t="s">
        <v>53</v>
      </c>
      <c r="B1311" s="12" t="s">
        <v>1397</v>
      </c>
      <c r="C1311" s="12">
        <v>163</v>
      </c>
      <c r="D1311" s="12">
        <v>2</v>
      </c>
    </row>
    <row r="1312" spans="1:4" ht="43.2" x14ac:dyDescent="0.3">
      <c r="A1312" s="12" t="s">
        <v>53</v>
      </c>
      <c r="B1312" s="12" t="s">
        <v>1398</v>
      </c>
      <c r="C1312" s="12">
        <v>411</v>
      </c>
      <c r="D1312" s="12">
        <v>4</v>
      </c>
    </row>
    <row r="1313" spans="1:4" ht="43.2" x14ac:dyDescent="0.3">
      <c r="A1313" s="12" t="s">
        <v>53</v>
      </c>
      <c r="B1313" s="12" t="s">
        <v>1399</v>
      </c>
      <c r="C1313" s="12">
        <v>86</v>
      </c>
      <c r="D1313" s="12">
        <v>1</v>
      </c>
    </row>
    <row r="1314" spans="1:4" ht="43.2" x14ac:dyDescent="0.3">
      <c r="A1314" s="12" t="s">
        <v>53</v>
      </c>
      <c r="B1314" s="12" t="s">
        <v>1400</v>
      </c>
      <c r="C1314" s="12">
        <v>123</v>
      </c>
      <c r="D1314" s="12">
        <v>1</v>
      </c>
    </row>
    <row r="1315" spans="1:4" ht="43.2" x14ac:dyDescent="0.3">
      <c r="A1315" s="12" t="s">
        <v>54</v>
      </c>
      <c r="B1315" s="12" t="s">
        <v>1401</v>
      </c>
      <c r="C1315" s="12">
        <v>940</v>
      </c>
      <c r="D1315" s="12">
        <v>9</v>
      </c>
    </row>
    <row r="1316" spans="1:4" ht="28.8" x14ac:dyDescent="0.3">
      <c r="A1316" s="12" t="s">
        <v>54</v>
      </c>
      <c r="B1316" s="12" t="s">
        <v>1402</v>
      </c>
      <c r="C1316" s="12">
        <v>1031</v>
      </c>
      <c r="D1316" s="12">
        <v>10</v>
      </c>
    </row>
    <row r="1317" spans="1:4" ht="57.6" x14ac:dyDescent="0.3">
      <c r="A1317" s="12" t="s">
        <v>54</v>
      </c>
      <c r="B1317" s="12" t="s">
        <v>1403</v>
      </c>
      <c r="C1317" s="12">
        <v>629</v>
      </c>
      <c r="D1317" s="12">
        <v>6</v>
      </c>
    </row>
    <row r="1318" spans="1:4" ht="57.6" x14ac:dyDescent="0.3">
      <c r="A1318" s="12" t="s">
        <v>54</v>
      </c>
      <c r="B1318" s="12" t="s">
        <v>1404</v>
      </c>
      <c r="C1318" s="12">
        <v>532</v>
      </c>
      <c r="D1318" s="12">
        <v>5</v>
      </c>
    </row>
    <row r="1319" spans="1:4" ht="43.2" x14ac:dyDescent="0.3">
      <c r="A1319" s="12" t="s">
        <v>54</v>
      </c>
      <c r="B1319" s="12" t="s">
        <v>1405</v>
      </c>
      <c r="C1319" s="12">
        <v>1681</v>
      </c>
      <c r="D1319" s="12">
        <v>17</v>
      </c>
    </row>
    <row r="1320" spans="1:4" ht="43.2" x14ac:dyDescent="0.3">
      <c r="A1320" s="12" t="s">
        <v>54</v>
      </c>
      <c r="B1320" s="12" t="s">
        <v>1406</v>
      </c>
      <c r="C1320" s="12">
        <v>1659</v>
      </c>
      <c r="D1320" s="12">
        <v>17</v>
      </c>
    </row>
    <row r="1321" spans="1:4" ht="43.2" x14ac:dyDescent="0.3">
      <c r="A1321" s="12" t="s">
        <v>54</v>
      </c>
      <c r="B1321" s="12" t="s">
        <v>1407</v>
      </c>
      <c r="C1321" s="12">
        <v>2104</v>
      </c>
      <c r="D1321" s="12">
        <v>21</v>
      </c>
    </row>
    <row r="1322" spans="1:4" ht="43.2" x14ac:dyDescent="0.3">
      <c r="A1322" s="12" t="s">
        <v>54</v>
      </c>
      <c r="B1322" s="12" t="s">
        <v>1408</v>
      </c>
      <c r="C1322" s="12">
        <v>1666</v>
      </c>
      <c r="D1322" s="12">
        <v>17</v>
      </c>
    </row>
    <row r="1323" spans="1:4" ht="43.2" x14ac:dyDescent="0.3">
      <c r="A1323" s="12" t="s">
        <v>54</v>
      </c>
      <c r="B1323" s="12" t="s">
        <v>1409</v>
      </c>
      <c r="C1323" s="12">
        <v>823</v>
      </c>
      <c r="D1323" s="12">
        <v>8</v>
      </c>
    </row>
    <row r="1324" spans="1:4" ht="28.8" x14ac:dyDescent="0.3">
      <c r="A1324" s="12" t="s">
        <v>54</v>
      </c>
      <c r="B1324" s="12" t="s">
        <v>1410</v>
      </c>
      <c r="C1324" s="12">
        <v>584</v>
      </c>
      <c r="D1324" s="12">
        <v>6</v>
      </c>
    </row>
    <row r="1325" spans="1:4" ht="43.2" x14ac:dyDescent="0.3">
      <c r="A1325" s="12" t="s">
        <v>54</v>
      </c>
      <c r="B1325" s="12" t="s">
        <v>1411</v>
      </c>
      <c r="C1325" s="12">
        <v>1863</v>
      </c>
      <c r="D1325" s="12">
        <v>19</v>
      </c>
    </row>
    <row r="1326" spans="1:4" ht="43.2" x14ac:dyDescent="0.3">
      <c r="A1326" s="12" t="s">
        <v>54</v>
      </c>
      <c r="B1326" s="12" t="s">
        <v>1412</v>
      </c>
      <c r="C1326" s="12">
        <v>2313</v>
      </c>
      <c r="D1326" s="12">
        <v>23</v>
      </c>
    </row>
    <row r="1327" spans="1:4" ht="43.2" x14ac:dyDescent="0.3">
      <c r="A1327" s="12" t="s">
        <v>54</v>
      </c>
      <c r="B1327" s="12" t="s">
        <v>1413</v>
      </c>
      <c r="C1327" s="12">
        <v>924</v>
      </c>
      <c r="D1327" s="12">
        <v>9</v>
      </c>
    </row>
    <row r="1328" spans="1:4" ht="43.2" x14ac:dyDescent="0.3">
      <c r="A1328" s="12" t="s">
        <v>54</v>
      </c>
      <c r="B1328" s="12" t="s">
        <v>1414</v>
      </c>
      <c r="C1328" s="12">
        <v>1227</v>
      </c>
      <c r="D1328" s="12">
        <v>12</v>
      </c>
    </row>
    <row r="1329" spans="1:4" ht="28.8" x14ac:dyDescent="0.3">
      <c r="A1329" s="12" t="s">
        <v>54</v>
      </c>
      <c r="B1329" s="12" t="s">
        <v>1415</v>
      </c>
      <c r="C1329" s="12">
        <v>173</v>
      </c>
      <c r="D1329" s="12">
        <v>2</v>
      </c>
    </row>
    <row r="1330" spans="1:4" ht="43.2" x14ac:dyDescent="0.3">
      <c r="A1330" s="12" t="s">
        <v>54</v>
      </c>
      <c r="B1330" s="12" t="s">
        <v>1416</v>
      </c>
      <c r="C1330" s="12">
        <v>1637</v>
      </c>
      <c r="D1330" s="12">
        <v>16</v>
      </c>
    </row>
    <row r="1331" spans="1:4" ht="28.8" x14ac:dyDescent="0.3">
      <c r="A1331" s="12" t="s">
        <v>54</v>
      </c>
      <c r="B1331" s="12" t="s">
        <v>548</v>
      </c>
      <c r="C1331" s="12">
        <v>172</v>
      </c>
      <c r="D1331" s="12">
        <v>2</v>
      </c>
    </row>
    <row r="1332" spans="1:4" x14ac:dyDescent="0.3">
      <c r="A1332" s="12" t="s">
        <v>54</v>
      </c>
      <c r="B1332" s="12" t="s">
        <v>1417</v>
      </c>
      <c r="C1332" s="12">
        <v>179</v>
      </c>
      <c r="D1332" s="12">
        <v>2</v>
      </c>
    </row>
    <row r="1333" spans="1:4" ht="43.2" x14ac:dyDescent="0.3">
      <c r="A1333" s="12" t="s">
        <v>54</v>
      </c>
      <c r="B1333" s="12" t="s">
        <v>1418</v>
      </c>
      <c r="C1333" s="12">
        <v>218</v>
      </c>
      <c r="D1333" s="12">
        <v>2</v>
      </c>
    </row>
    <row r="1334" spans="1:4" ht="28.8" x14ac:dyDescent="0.3">
      <c r="A1334" s="12" t="s">
        <v>54</v>
      </c>
      <c r="B1334" s="12" t="s">
        <v>1419</v>
      </c>
      <c r="C1334" s="12">
        <v>503</v>
      </c>
      <c r="D1334" s="12">
        <v>5</v>
      </c>
    </row>
    <row r="1335" spans="1:4" ht="28.8" x14ac:dyDescent="0.3">
      <c r="A1335" s="12" t="s">
        <v>54</v>
      </c>
      <c r="B1335" s="12" t="s">
        <v>1420</v>
      </c>
      <c r="C1335" s="12">
        <v>449</v>
      </c>
      <c r="D1335" s="12">
        <v>4</v>
      </c>
    </row>
    <row r="1336" spans="1:4" ht="43.2" x14ac:dyDescent="0.3">
      <c r="A1336" s="12" t="s">
        <v>54</v>
      </c>
      <c r="B1336" s="12" t="s">
        <v>1421</v>
      </c>
      <c r="C1336" s="12">
        <v>1074</v>
      </c>
      <c r="D1336" s="12">
        <v>11</v>
      </c>
    </row>
    <row r="1337" spans="1:4" ht="43.2" x14ac:dyDescent="0.3">
      <c r="A1337" s="12" t="s">
        <v>54</v>
      </c>
      <c r="B1337" s="12" t="s">
        <v>1422</v>
      </c>
      <c r="C1337" s="12">
        <v>965</v>
      </c>
      <c r="D1337" s="12">
        <v>10</v>
      </c>
    </row>
    <row r="1338" spans="1:4" ht="43.2" x14ac:dyDescent="0.3">
      <c r="A1338" s="12" t="s">
        <v>54</v>
      </c>
      <c r="B1338" s="12" t="s">
        <v>1423</v>
      </c>
      <c r="C1338" s="12">
        <v>1177</v>
      </c>
      <c r="D1338" s="12">
        <v>12</v>
      </c>
    </row>
    <row r="1339" spans="1:4" ht="43.2" x14ac:dyDescent="0.3">
      <c r="A1339" s="12" t="s">
        <v>54</v>
      </c>
      <c r="B1339" s="12" t="s">
        <v>1424</v>
      </c>
      <c r="C1339" s="12">
        <v>980</v>
      </c>
      <c r="D1339" s="12">
        <v>10</v>
      </c>
    </row>
    <row r="1340" spans="1:4" ht="43.2" x14ac:dyDescent="0.3">
      <c r="A1340" s="12" t="s">
        <v>54</v>
      </c>
      <c r="B1340" s="12" t="s">
        <v>1425</v>
      </c>
      <c r="C1340" s="12">
        <v>1097</v>
      </c>
      <c r="D1340" s="12">
        <v>11</v>
      </c>
    </row>
    <row r="1341" spans="1:4" ht="43.2" x14ac:dyDescent="0.3">
      <c r="A1341" s="12" t="s">
        <v>54</v>
      </c>
      <c r="B1341" s="12" t="s">
        <v>1426</v>
      </c>
      <c r="C1341" s="12">
        <v>1303</v>
      </c>
      <c r="D1341" s="12">
        <v>13</v>
      </c>
    </row>
    <row r="1342" spans="1:4" ht="43.2" x14ac:dyDescent="0.3">
      <c r="A1342" s="12" t="s">
        <v>54</v>
      </c>
      <c r="B1342" s="12" t="s">
        <v>1427</v>
      </c>
      <c r="C1342" s="12">
        <v>496</v>
      </c>
      <c r="D1342" s="12">
        <v>5</v>
      </c>
    </row>
    <row r="1343" spans="1:4" ht="28.8" x14ac:dyDescent="0.3">
      <c r="A1343" s="12" t="s">
        <v>54</v>
      </c>
      <c r="B1343" s="12" t="s">
        <v>1428</v>
      </c>
      <c r="C1343" s="12">
        <v>186</v>
      </c>
      <c r="D1343" s="12">
        <v>2</v>
      </c>
    </row>
    <row r="1344" spans="1:4" ht="43.2" x14ac:dyDescent="0.3">
      <c r="A1344" s="12" t="s">
        <v>55</v>
      </c>
      <c r="B1344" s="12" t="s">
        <v>1429</v>
      </c>
      <c r="C1344" s="12">
        <v>325</v>
      </c>
      <c r="D1344" s="12">
        <v>3</v>
      </c>
    </row>
    <row r="1345" spans="1:4" ht="28.8" x14ac:dyDescent="0.3">
      <c r="A1345" s="12" t="s">
        <v>55</v>
      </c>
      <c r="B1345" s="12" t="s">
        <v>1430</v>
      </c>
      <c r="C1345" s="12">
        <v>97</v>
      </c>
      <c r="D1345" s="12">
        <v>1</v>
      </c>
    </row>
    <row r="1346" spans="1:4" ht="28.8" x14ac:dyDescent="0.3">
      <c r="A1346" s="12" t="s">
        <v>55</v>
      </c>
      <c r="B1346" s="12" t="s">
        <v>1431</v>
      </c>
      <c r="C1346" s="12">
        <v>188</v>
      </c>
      <c r="D1346" s="12">
        <v>2</v>
      </c>
    </row>
    <row r="1347" spans="1:4" ht="28.8" x14ac:dyDescent="0.3">
      <c r="A1347" s="12" t="s">
        <v>55</v>
      </c>
      <c r="B1347" s="12" t="s">
        <v>1432</v>
      </c>
      <c r="C1347" s="12">
        <v>433</v>
      </c>
      <c r="D1347" s="12">
        <v>4</v>
      </c>
    </row>
    <row r="1348" spans="1:4" ht="43.2" x14ac:dyDescent="0.3">
      <c r="A1348" s="12" t="s">
        <v>55</v>
      </c>
      <c r="B1348" s="12" t="s">
        <v>1433</v>
      </c>
      <c r="C1348" s="12">
        <v>2481</v>
      </c>
      <c r="D1348" s="12">
        <v>25</v>
      </c>
    </row>
    <row r="1349" spans="1:4" ht="43.2" x14ac:dyDescent="0.3">
      <c r="A1349" s="12" t="s">
        <v>55</v>
      </c>
      <c r="B1349" s="12" t="s">
        <v>1434</v>
      </c>
      <c r="C1349" s="12">
        <v>371</v>
      </c>
      <c r="D1349" s="12">
        <v>4</v>
      </c>
    </row>
    <row r="1350" spans="1:4" ht="43.2" x14ac:dyDescent="0.3">
      <c r="A1350" s="12" t="s">
        <v>55</v>
      </c>
      <c r="B1350" s="12" t="s">
        <v>1435</v>
      </c>
      <c r="C1350" s="12">
        <v>352</v>
      </c>
      <c r="D1350" s="12">
        <v>4</v>
      </c>
    </row>
    <row r="1351" spans="1:4" ht="28.8" x14ac:dyDescent="0.3">
      <c r="A1351" s="12" t="s">
        <v>55</v>
      </c>
      <c r="B1351" s="12" t="s">
        <v>1436</v>
      </c>
      <c r="C1351" s="12">
        <v>945</v>
      </c>
      <c r="D1351" s="12">
        <v>9</v>
      </c>
    </row>
    <row r="1352" spans="1:4" x14ac:dyDescent="0.3">
      <c r="A1352" s="12" t="s">
        <v>55</v>
      </c>
      <c r="B1352" s="12" t="s">
        <v>1437</v>
      </c>
      <c r="C1352" s="12">
        <v>226</v>
      </c>
      <c r="D1352" s="12">
        <v>2</v>
      </c>
    </row>
    <row r="1353" spans="1:4" ht="43.2" x14ac:dyDescent="0.3">
      <c r="A1353" s="12" t="s">
        <v>55</v>
      </c>
      <c r="B1353" s="12" t="s">
        <v>1438</v>
      </c>
      <c r="C1353" s="12">
        <v>343</v>
      </c>
      <c r="D1353" s="12">
        <v>3</v>
      </c>
    </row>
    <row r="1354" spans="1:4" ht="57.6" x14ac:dyDescent="0.3">
      <c r="A1354" s="12" t="s">
        <v>55</v>
      </c>
      <c r="B1354" s="12" t="s">
        <v>1439</v>
      </c>
      <c r="C1354" s="12">
        <v>490</v>
      </c>
      <c r="D1354" s="12">
        <v>5</v>
      </c>
    </row>
    <row r="1355" spans="1:4" ht="57.6" x14ac:dyDescent="0.3">
      <c r="A1355" s="12" t="s">
        <v>55</v>
      </c>
      <c r="B1355" s="12" t="s">
        <v>1440</v>
      </c>
      <c r="C1355" s="12">
        <v>1056</v>
      </c>
      <c r="D1355" s="12">
        <v>11</v>
      </c>
    </row>
    <row r="1356" spans="1:4" ht="43.2" x14ac:dyDescent="0.3">
      <c r="A1356" s="12" t="s">
        <v>55</v>
      </c>
      <c r="B1356" s="12" t="s">
        <v>1441</v>
      </c>
      <c r="C1356" s="12">
        <v>1020</v>
      </c>
      <c r="D1356" s="12">
        <v>10</v>
      </c>
    </row>
    <row r="1357" spans="1:4" ht="28.8" x14ac:dyDescent="0.3">
      <c r="A1357" s="12" t="s">
        <v>55</v>
      </c>
      <c r="B1357" s="12" t="s">
        <v>1442</v>
      </c>
      <c r="C1357" s="12">
        <v>786</v>
      </c>
      <c r="D1357" s="12">
        <v>8</v>
      </c>
    </row>
    <row r="1358" spans="1:4" ht="43.2" x14ac:dyDescent="0.3">
      <c r="A1358" s="12" t="s">
        <v>56</v>
      </c>
      <c r="B1358" s="12" t="s">
        <v>1443</v>
      </c>
      <c r="C1358" s="12">
        <v>1363</v>
      </c>
      <c r="D1358" s="12">
        <v>14</v>
      </c>
    </row>
    <row r="1359" spans="1:4" ht="28.8" x14ac:dyDescent="0.3">
      <c r="A1359" s="12" t="s">
        <v>56</v>
      </c>
      <c r="B1359" s="12" t="s">
        <v>1444</v>
      </c>
      <c r="C1359" s="12">
        <v>853</v>
      </c>
      <c r="D1359" s="12">
        <v>9</v>
      </c>
    </row>
    <row r="1360" spans="1:4" ht="43.2" x14ac:dyDescent="0.3">
      <c r="A1360" s="12" t="s">
        <v>56</v>
      </c>
      <c r="B1360" s="12" t="s">
        <v>1445</v>
      </c>
      <c r="C1360" s="12">
        <v>278</v>
      </c>
      <c r="D1360" s="12">
        <v>3</v>
      </c>
    </row>
    <row r="1361" spans="1:4" ht="28.8" x14ac:dyDescent="0.3">
      <c r="A1361" s="12" t="s">
        <v>56</v>
      </c>
      <c r="B1361" s="12" t="s">
        <v>1446</v>
      </c>
      <c r="C1361" s="12">
        <v>507</v>
      </c>
      <c r="D1361" s="12">
        <v>5</v>
      </c>
    </row>
    <row r="1362" spans="1:4" ht="28.8" x14ac:dyDescent="0.3">
      <c r="A1362" s="12" t="s">
        <v>56</v>
      </c>
      <c r="B1362" s="12" t="s">
        <v>1447</v>
      </c>
      <c r="C1362" s="12">
        <v>1342</v>
      </c>
      <c r="D1362" s="12">
        <v>13</v>
      </c>
    </row>
    <row r="1363" spans="1:4" ht="28.8" x14ac:dyDescent="0.3">
      <c r="A1363" s="12" t="s">
        <v>56</v>
      </c>
      <c r="B1363" s="12" t="s">
        <v>1448</v>
      </c>
      <c r="C1363" s="12">
        <v>856</v>
      </c>
      <c r="D1363" s="12">
        <v>9</v>
      </c>
    </row>
    <row r="1364" spans="1:4" ht="43.2" x14ac:dyDescent="0.3">
      <c r="A1364" s="12" t="s">
        <v>56</v>
      </c>
      <c r="B1364" s="12" t="s">
        <v>1449</v>
      </c>
      <c r="C1364" s="12">
        <v>958</v>
      </c>
      <c r="D1364" s="12">
        <v>10</v>
      </c>
    </row>
    <row r="1365" spans="1:4" ht="57.6" x14ac:dyDescent="0.3">
      <c r="A1365" s="12" t="s">
        <v>56</v>
      </c>
      <c r="B1365" s="12" t="s">
        <v>1450</v>
      </c>
      <c r="C1365" s="12">
        <v>2215</v>
      </c>
      <c r="D1365" s="12">
        <v>22</v>
      </c>
    </row>
    <row r="1366" spans="1:4" ht="28.8" x14ac:dyDescent="0.3">
      <c r="A1366" s="12" t="s">
        <v>56</v>
      </c>
      <c r="B1366" s="12" t="s">
        <v>1451</v>
      </c>
      <c r="C1366" s="12">
        <v>815</v>
      </c>
      <c r="D1366" s="12">
        <v>8</v>
      </c>
    </row>
    <row r="1367" spans="1:4" ht="43.2" x14ac:dyDescent="0.3">
      <c r="A1367" s="12" t="s">
        <v>56</v>
      </c>
      <c r="B1367" s="12" t="s">
        <v>1452</v>
      </c>
      <c r="C1367" s="12">
        <v>268</v>
      </c>
      <c r="D1367" s="12">
        <v>3</v>
      </c>
    </row>
    <row r="1368" spans="1:4" x14ac:dyDescent="0.3">
      <c r="A1368" s="12" t="s">
        <v>56</v>
      </c>
      <c r="B1368" s="12" t="s">
        <v>1453</v>
      </c>
      <c r="C1368" s="12">
        <v>295</v>
      </c>
      <c r="D1368" s="12">
        <v>3</v>
      </c>
    </row>
    <row r="1369" spans="1:4" ht="43.2" x14ac:dyDescent="0.3">
      <c r="A1369" s="12" t="s">
        <v>56</v>
      </c>
      <c r="B1369" s="12" t="s">
        <v>1454</v>
      </c>
      <c r="C1369" s="12">
        <v>443</v>
      </c>
      <c r="D1369" s="12">
        <v>4</v>
      </c>
    </row>
    <row r="1370" spans="1:4" ht="43.2" x14ac:dyDescent="0.3">
      <c r="A1370" s="12" t="s">
        <v>56</v>
      </c>
      <c r="B1370" s="12" t="s">
        <v>1455</v>
      </c>
      <c r="C1370" s="12">
        <v>1131</v>
      </c>
      <c r="D1370" s="12">
        <v>11</v>
      </c>
    </row>
    <row r="1371" spans="1:4" ht="43.2" x14ac:dyDescent="0.3">
      <c r="A1371" s="12" t="s">
        <v>56</v>
      </c>
      <c r="B1371" s="12" t="s">
        <v>1456</v>
      </c>
      <c r="C1371" s="12">
        <v>475</v>
      </c>
      <c r="D1371" s="12">
        <v>5</v>
      </c>
    </row>
    <row r="1372" spans="1:4" ht="43.2" x14ac:dyDescent="0.3">
      <c r="A1372" s="12" t="s">
        <v>56</v>
      </c>
      <c r="B1372" s="12" t="s">
        <v>1457</v>
      </c>
      <c r="C1372" s="12">
        <v>1253</v>
      </c>
      <c r="D1372" s="12">
        <v>13</v>
      </c>
    </row>
    <row r="1373" spans="1:4" ht="43.2" x14ac:dyDescent="0.3">
      <c r="A1373" s="12" t="s">
        <v>56</v>
      </c>
      <c r="B1373" s="12" t="s">
        <v>1458</v>
      </c>
      <c r="C1373" s="12">
        <v>1291</v>
      </c>
      <c r="D1373" s="12">
        <v>13</v>
      </c>
    </row>
    <row r="1374" spans="1:4" ht="43.2" x14ac:dyDescent="0.3">
      <c r="A1374" s="12" t="s">
        <v>56</v>
      </c>
      <c r="B1374" s="12" t="s">
        <v>1459</v>
      </c>
      <c r="C1374" s="12">
        <v>517</v>
      </c>
      <c r="D1374" s="12">
        <v>5</v>
      </c>
    </row>
    <row r="1375" spans="1:4" ht="28.8" x14ac:dyDescent="0.3">
      <c r="A1375" s="12" t="s">
        <v>56</v>
      </c>
      <c r="B1375" s="12" t="s">
        <v>1460</v>
      </c>
      <c r="C1375" s="12">
        <v>787</v>
      </c>
      <c r="D1375" s="12">
        <v>8</v>
      </c>
    </row>
    <row r="1376" spans="1:4" ht="57.6" x14ac:dyDescent="0.3">
      <c r="A1376" s="12" t="s">
        <v>56</v>
      </c>
      <c r="B1376" s="12" t="s">
        <v>1461</v>
      </c>
      <c r="C1376" s="12">
        <v>913</v>
      </c>
      <c r="D1376" s="12">
        <v>9</v>
      </c>
    </row>
    <row r="1377" spans="1:4" ht="57.6" x14ac:dyDescent="0.3">
      <c r="A1377" s="12" t="s">
        <v>56</v>
      </c>
      <c r="B1377" s="12" t="s">
        <v>1462</v>
      </c>
      <c r="C1377" s="12">
        <v>738</v>
      </c>
      <c r="D1377" s="12">
        <v>7</v>
      </c>
    </row>
    <row r="1378" spans="1:4" ht="43.2" x14ac:dyDescent="0.3">
      <c r="A1378" s="12" t="s">
        <v>56</v>
      </c>
      <c r="B1378" s="12" t="s">
        <v>1463</v>
      </c>
      <c r="C1378" s="12">
        <v>640</v>
      </c>
      <c r="D1378" s="12">
        <v>6</v>
      </c>
    </row>
    <row r="1379" spans="1:4" ht="43.2" x14ac:dyDescent="0.3">
      <c r="A1379" s="12" t="s">
        <v>56</v>
      </c>
      <c r="B1379" s="12" t="s">
        <v>1464</v>
      </c>
      <c r="C1379" s="12">
        <v>823</v>
      </c>
      <c r="D1379" s="12">
        <v>8</v>
      </c>
    </row>
    <row r="1380" spans="1:4" ht="28.8" x14ac:dyDescent="0.3">
      <c r="A1380" s="12" t="s">
        <v>56</v>
      </c>
      <c r="B1380" s="12" t="s">
        <v>1465</v>
      </c>
      <c r="C1380" s="12">
        <v>647</v>
      </c>
      <c r="D1380" s="12">
        <v>6</v>
      </c>
    </row>
    <row r="1381" spans="1:4" ht="28.8" x14ac:dyDescent="0.3">
      <c r="A1381" s="12" t="s">
        <v>56</v>
      </c>
      <c r="B1381" s="12" t="s">
        <v>1466</v>
      </c>
      <c r="C1381" s="12">
        <v>607</v>
      </c>
      <c r="D1381" s="12">
        <v>6</v>
      </c>
    </row>
    <row r="1382" spans="1:4" ht="43.2" x14ac:dyDescent="0.3">
      <c r="A1382" s="12" t="s">
        <v>56</v>
      </c>
      <c r="B1382" s="12" t="s">
        <v>1467</v>
      </c>
      <c r="C1382" s="12">
        <v>265</v>
      </c>
      <c r="D1382" s="12">
        <v>3</v>
      </c>
    </row>
    <row r="1383" spans="1:4" ht="28.8" x14ac:dyDescent="0.3">
      <c r="A1383" s="12" t="s">
        <v>56</v>
      </c>
      <c r="B1383" s="12" t="s">
        <v>1468</v>
      </c>
      <c r="C1383" s="12">
        <v>2055</v>
      </c>
      <c r="D1383" s="12">
        <v>21</v>
      </c>
    </row>
    <row r="1384" spans="1:4" ht="43.2" x14ac:dyDescent="0.3">
      <c r="A1384" s="12" t="s">
        <v>56</v>
      </c>
      <c r="B1384" s="12" t="s">
        <v>1469</v>
      </c>
      <c r="C1384" s="12">
        <v>323</v>
      </c>
      <c r="D1384" s="12">
        <v>3</v>
      </c>
    </row>
    <row r="1385" spans="1:4" ht="28.8" x14ac:dyDescent="0.3">
      <c r="A1385" s="12" t="s">
        <v>56</v>
      </c>
      <c r="B1385" s="12" t="s">
        <v>1470</v>
      </c>
      <c r="C1385" s="12">
        <v>376</v>
      </c>
      <c r="D1385" s="12">
        <v>4</v>
      </c>
    </row>
    <row r="1386" spans="1:4" ht="43.2" x14ac:dyDescent="0.3">
      <c r="A1386" s="12" t="s">
        <v>56</v>
      </c>
      <c r="B1386" s="12" t="s">
        <v>1471</v>
      </c>
      <c r="C1386" s="12">
        <v>682</v>
      </c>
      <c r="D1386" s="12">
        <v>7</v>
      </c>
    </row>
    <row r="1387" spans="1:4" ht="43.2" x14ac:dyDescent="0.3">
      <c r="A1387" s="12" t="s">
        <v>56</v>
      </c>
      <c r="B1387" s="12" t="s">
        <v>1472</v>
      </c>
      <c r="C1387" s="12">
        <v>970</v>
      </c>
      <c r="D1387" s="12">
        <v>10</v>
      </c>
    </row>
    <row r="1388" spans="1:4" ht="72" x14ac:dyDescent="0.3">
      <c r="A1388" s="12" t="s">
        <v>56</v>
      </c>
      <c r="B1388" s="12" t="s">
        <v>1473</v>
      </c>
      <c r="C1388" s="12">
        <v>700</v>
      </c>
      <c r="D1388" s="12">
        <v>7</v>
      </c>
    </row>
    <row r="1389" spans="1:4" ht="72" x14ac:dyDescent="0.3">
      <c r="A1389" s="12" t="s">
        <v>56</v>
      </c>
      <c r="B1389" s="12" t="s">
        <v>1474</v>
      </c>
      <c r="C1389" s="12">
        <v>1485</v>
      </c>
      <c r="D1389" s="12">
        <v>15</v>
      </c>
    </row>
    <row r="1390" spans="1:4" ht="43.2" x14ac:dyDescent="0.3">
      <c r="A1390" s="12" t="s">
        <v>56</v>
      </c>
      <c r="B1390" s="12" t="s">
        <v>1475</v>
      </c>
      <c r="C1390" s="12">
        <v>916</v>
      </c>
      <c r="D1390" s="12">
        <v>9</v>
      </c>
    </row>
    <row r="1391" spans="1:4" ht="43.2" x14ac:dyDescent="0.3">
      <c r="A1391" s="12" t="s">
        <v>56</v>
      </c>
      <c r="B1391" s="12" t="s">
        <v>1476</v>
      </c>
      <c r="C1391" s="12">
        <v>1526</v>
      </c>
      <c r="D1391" s="12">
        <v>15</v>
      </c>
    </row>
    <row r="1392" spans="1:4" ht="28.8" x14ac:dyDescent="0.3">
      <c r="A1392" s="12" t="s">
        <v>56</v>
      </c>
      <c r="B1392" s="12" t="s">
        <v>1477</v>
      </c>
      <c r="C1392" s="12">
        <v>851</v>
      </c>
      <c r="D1392" s="12">
        <v>9</v>
      </c>
    </row>
    <row r="1393" spans="1:4" ht="43.2" x14ac:dyDescent="0.3">
      <c r="A1393" s="12" t="s">
        <v>56</v>
      </c>
      <c r="B1393" s="12" t="s">
        <v>1478</v>
      </c>
      <c r="C1393" s="12">
        <v>1018</v>
      </c>
      <c r="D1393" s="12">
        <v>10</v>
      </c>
    </row>
    <row r="1394" spans="1:4" ht="28.8" x14ac:dyDescent="0.3">
      <c r="A1394" s="12" t="s">
        <v>57</v>
      </c>
      <c r="B1394" s="12" t="s">
        <v>1479</v>
      </c>
      <c r="C1394" s="12">
        <v>171</v>
      </c>
      <c r="D1394" s="12">
        <v>2</v>
      </c>
    </row>
    <row r="1395" spans="1:4" ht="43.2" x14ac:dyDescent="0.3">
      <c r="A1395" s="12" t="s">
        <v>57</v>
      </c>
      <c r="B1395" s="12" t="s">
        <v>820</v>
      </c>
      <c r="C1395" s="12">
        <v>57</v>
      </c>
      <c r="D1395" s="12">
        <v>1</v>
      </c>
    </row>
    <row r="1396" spans="1:4" ht="43.2" x14ac:dyDescent="0.3">
      <c r="A1396" s="12" t="s">
        <v>57</v>
      </c>
      <c r="B1396" s="12" t="s">
        <v>245</v>
      </c>
      <c r="C1396" s="12">
        <v>77</v>
      </c>
      <c r="D1396" s="12">
        <v>1</v>
      </c>
    </row>
    <row r="1397" spans="1:4" ht="43.2" x14ac:dyDescent="0.3">
      <c r="A1397" s="12" t="s">
        <v>57</v>
      </c>
      <c r="B1397" s="12" t="s">
        <v>1480</v>
      </c>
      <c r="C1397" s="12">
        <v>557</v>
      </c>
      <c r="D1397" s="12">
        <v>6</v>
      </c>
    </row>
    <row r="1398" spans="1:4" ht="43.2" x14ac:dyDescent="0.3">
      <c r="A1398" s="12" t="s">
        <v>57</v>
      </c>
      <c r="B1398" s="12" t="s">
        <v>1481</v>
      </c>
      <c r="C1398" s="12">
        <v>662</v>
      </c>
      <c r="D1398" s="12">
        <v>7</v>
      </c>
    </row>
    <row r="1399" spans="1:4" ht="43.2" x14ac:dyDescent="0.3">
      <c r="A1399" s="12" t="s">
        <v>57</v>
      </c>
      <c r="B1399" s="12" t="s">
        <v>1482</v>
      </c>
      <c r="C1399" s="12">
        <v>90</v>
      </c>
      <c r="D1399" s="12">
        <v>1</v>
      </c>
    </row>
    <row r="1400" spans="1:4" ht="28.8" x14ac:dyDescent="0.3">
      <c r="A1400" s="12" t="s">
        <v>57</v>
      </c>
      <c r="B1400" s="12" t="s">
        <v>252</v>
      </c>
      <c r="C1400" s="12">
        <v>436</v>
      </c>
      <c r="D1400" s="12">
        <v>4</v>
      </c>
    </row>
    <row r="1401" spans="1:4" ht="43.2" x14ac:dyDescent="0.3">
      <c r="A1401" s="12" t="s">
        <v>58</v>
      </c>
      <c r="B1401" s="12" t="s">
        <v>1483</v>
      </c>
      <c r="C1401" s="12">
        <v>1770</v>
      </c>
      <c r="D1401" s="12">
        <v>18</v>
      </c>
    </row>
    <row r="1402" spans="1:4" ht="43.2" x14ac:dyDescent="0.3">
      <c r="A1402" s="12" t="s">
        <v>58</v>
      </c>
      <c r="B1402" s="12" t="s">
        <v>1484</v>
      </c>
      <c r="C1402" s="12">
        <v>2190</v>
      </c>
      <c r="D1402" s="12">
        <v>22</v>
      </c>
    </row>
    <row r="1403" spans="1:4" ht="43.2" x14ac:dyDescent="0.3">
      <c r="A1403" s="12" t="s">
        <v>58</v>
      </c>
      <c r="B1403" s="12" t="s">
        <v>1485</v>
      </c>
      <c r="C1403" s="12">
        <v>529</v>
      </c>
      <c r="D1403" s="12">
        <v>5</v>
      </c>
    </row>
    <row r="1404" spans="1:4" ht="43.2" x14ac:dyDescent="0.3">
      <c r="A1404" s="12" t="s">
        <v>58</v>
      </c>
      <c r="B1404" s="12" t="s">
        <v>1486</v>
      </c>
      <c r="C1404" s="12">
        <v>789</v>
      </c>
      <c r="D1404" s="12">
        <v>8</v>
      </c>
    </row>
    <row r="1405" spans="1:4" ht="43.2" x14ac:dyDescent="0.3">
      <c r="A1405" s="12" t="s">
        <v>58</v>
      </c>
      <c r="B1405" s="12" t="s">
        <v>1487</v>
      </c>
      <c r="C1405" s="12">
        <v>1083</v>
      </c>
      <c r="D1405" s="12">
        <v>11</v>
      </c>
    </row>
    <row r="1406" spans="1:4" ht="43.2" x14ac:dyDescent="0.3">
      <c r="A1406" s="12" t="s">
        <v>58</v>
      </c>
      <c r="B1406" s="12" t="s">
        <v>1488</v>
      </c>
      <c r="C1406" s="12">
        <v>877</v>
      </c>
      <c r="D1406" s="12">
        <v>9</v>
      </c>
    </row>
    <row r="1407" spans="1:4" ht="43.2" x14ac:dyDescent="0.3">
      <c r="A1407" s="12" t="s">
        <v>58</v>
      </c>
      <c r="B1407" s="12" t="s">
        <v>1489</v>
      </c>
      <c r="C1407" s="12">
        <v>1100</v>
      </c>
      <c r="D1407" s="12">
        <v>11</v>
      </c>
    </row>
    <row r="1408" spans="1:4" ht="43.2" x14ac:dyDescent="0.3">
      <c r="A1408" s="12" t="s">
        <v>58</v>
      </c>
      <c r="B1408" s="12" t="s">
        <v>1490</v>
      </c>
      <c r="C1408" s="12">
        <v>1210</v>
      </c>
      <c r="D1408" s="12">
        <v>12</v>
      </c>
    </row>
    <row r="1409" spans="1:4" ht="43.2" x14ac:dyDescent="0.3">
      <c r="A1409" s="12" t="s">
        <v>58</v>
      </c>
      <c r="B1409" s="12" t="s">
        <v>1491</v>
      </c>
      <c r="C1409" s="12">
        <v>596</v>
      </c>
      <c r="D1409" s="12">
        <v>6</v>
      </c>
    </row>
    <row r="1410" spans="1:4" ht="43.2" x14ac:dyDescent="0.3">
      <c r="A1410" s="12" t="s">
        <v>58</v>
      </c>
      <c r="B1410" s="12" t="s">
        <v>1492</v>
      </c>
      <c r="C1410" s="12">
        <v>1225</v>
      </c>
      <c r="D1410" s="12">
        <v>12</v>
      </c>
    </row>
    <row r="1411" spans="1:4" ht="43.2" x14ac:dyDescent="0.3">
      <c r="A1411" s="12" t="s">
        <v>59</v>
      </c>
      <c r="B1411" s="12" t="s">
        <v>1493</v>
      </c>
      <c r="C1411" s="12">
        <v>683</v>
      </c>
      <c r="D1411" s="12">
        <v>7</v>
      </c>
    </row>
    <row r="1412" spans="1:4" ht="43.2" x14ac:dyDescent="0.3">
      <c r="A1412" s="12" t="s">
        <v>59</v>
      </c>
      <c r="B1412" s="12" t="s">
        <v>509</v>
      </c>
      <c r="C1412" s="12">
        <v>852</v>
      </c>
      <c r="D1412" s="12">
        <v>9</v>
      </c>
    </row>
    <row r="1413" spans="1:4" ht="43.2" x14ac:dyDescent="0.3">
      <c r="A1413" s="12" t="s">
        <v>59</v>
      </c>
      <c r="B1413" s="12" t="s">
        <v>1494</v>
      </c>
      <c r="C1413" s="12">
        <v>355</v>
      </c>
      <c r="D1413" s="12">
        <v>4</v>
      </c>
    </row>
    <row r="1414" spans="1:4" ht="43.2" x14ac:dyDescent="0.3">
      <c r="A1414" s="12" t="s">
        <v>59</v>
      </c>
      <c r="B1414" s="12" t="s">
        <v>1495</v>
      </c>
      <c r="C1414" s="12">
        <v>487</v>
      </c>
      <c r="D1414" s="12">
        <v>5</v>
      </c>
    </row>
    <row r="1415" spans="1:4" ht="43.2" x14ac:dyDescent="0.3">
      <c r="A1415" s="12" t="s">
        <v>59</v>
      </c>
      <c r="B1415" s="12" t="s">
        <v>1496</v>
      </c>
      <c r="C1415" s="12">
        <v>510</v>
      </c>
      <c r="D1415" s="12">
        <v>5</v>
      </c>
    </row>
    <row r="1416" spans="1:4" ht="43.2" x14ac:dyDescent="0.3">
      <c r="A1416" s="12" t="s">
        <v>59</v>
      </c>
      <c r="B1416" s="12" t="s">
        <v>1497</v>
      </c>
      <c r="C1416" s="12">
        <v>618</v>
      </c>
      <c r="D1416" s="12">
        <v>6</v>
      </c>
    </row>
    <row r="1417" spans="1:4" ht="43.2" x14ac:dyDescent="0.3">
      <c r="A1417" s="12" t="s">
        <v>59</v>
      </c>
      <c r="B1417" s="12" t="s">
        <v>1498</v>
      </c>
      <c r="C1417" s="12">
        <v>865</v>
      </c>
      <c r="D1417" s="12">
        <v>9</v>
      </c>
    </row>
    <row r="1418" spans="1:4" ht="43.2" x14ac:dyDescent="0.3">
      <c r="A1418" s="12" t="s">
        <v>59</v>
      </c>
      <c r="B1418" s="12" t="s">
        <v>1499</v>
      </c>
      <c r="C1418" s="12">
        <v>670</v>
      </c>
      <c r="D1418" s="12">
        <v>7</v>
      </c>
    </row>
    <row r="1419" spans="1:4" ht="43.2" x14ac:dyDescent="0.3">
      <c r="A1419" s="12" t="s">
        <v>59</v>
      </c>
      <c r="B1419" s="12" t="s">
        <v>1500</v>
      </c>
      <c r="C1419" s="12">
        <v>1087</v>
      </c>
      <c r="D1419" s="12">
        <v>11</v>
      </c>
    </row>
    <row r="1420" spans="1:4" ht="43.2" x14ac:dyDescent="0.3">
      <c r="A1420" s="12" t="s">
        <v>59</v>
      </c>
      <c r="B1420" s="12" t="s">
        <v>1501</v>
      </c>
      <c r="C1420" s="12">
        <v>968</v>
      </c>
      <c r="D1420" s="12">
        <v>10</v>
      </c>
    </row>
    <row r="1421" spans="1:4" ht="43.2" x14ac:dyDescent="0.3">
      <c r="A1421" s="12" t="s">
        <v>59</v>
      </c>
      <c r="B1421" s="12" t="s">
        <v>1502</v>
      </c>
      <c r="C1421" s="12">
        <v>624</v>
      </c>
      <c r="D1421" s="12">
        <v>6</v>
      </c>
    </row>
    <row r="1422" spans="1:4" ht="43.2" x14ac:dyDescent="0.3">
      <c r="A1422" s="12" t="s">
        <v>59</v>
      </c>
      <c r="B1422" s="12" t="s">
        <v>1503</v>
      </c>
      <c r="C1422" s="12">
        <v>856</v>
      </c>
      <c r="D1422" s="12">
        <v>9</v>
      </c>
    </row>
    <row r="1423" spans="1:4" ht="43.2" x14ac:dyDescent="0.3">
      <c r="A1423" s="12" t="s">
        <v>59</v>
      </c>
      <c r="B1423" s="12" t="s">
        <v>1504</v>
      </c>
      <c r="C1423" s="12">
        <v>1183</v>
      </c>
      <c r="D1423" s="12">
        <v>12</v>
      </c>
    </row>
    <row r="1424" spans="1:4" x14ac:dyDescent="0.3">
      <c r="A1424" s="12" t="s">
        <v>59</v>
      </c>
      <c r="B1424" s="12" t="s">
        <v>1505</v>
      </c>
      <c r="C1424" s="12">
        <v>665</v>
      </c>
      <c r="D1424" s="12">
        <v>7</v>
      </c>
    </row>
    <row r="1425" spans="1:4" ht="28.8" x14ac:dyDescent="0.3">
      <c r="A1425" s="12" t="s">
        <v>59</v>
      </c>
      <c r="B1425" s="12" t="s">
        <v>1506</v>
      </c>
      <c r="C1425" s="12">
        <v>81</v>
      </c>
      <c r="D1425" s="12">
        <v>1</v>
      </c>
    </row>
    <row r="1426" spans="1:4" ht="28.8" x14ac:dyDescent="0.3">
      <c r="A1426" s="12" t="s">
        <v>59</v>
      </c>
      <c r="B1426" s="12" t="s">
        <v>1507</v>
      </c>
      <c r="C1426" s="12">
        <v>140</v>
      </c>
      <c r="D1426" s="12">
        <v>1</v>
      </c>
    </row>
    <row r="1427" spans="1:4" ht="43.2" x14ac:dyDescent="0.3">
      <c r="A1427" s="12" t="s">
        <v>59</v>
      </c>
      <c r="B1427" s="12" t="s">
        <v>1508</v>
      </c>
      <c r="C1427" s="12">
        <v>112</v>
      </c>
      <c r="D1427" s="12">
        <v>1</v>
      </c>
    </row>
    <row r="1428" spans="1:4" ht="43.2" x14ac:dyDescent="0.3">
      <c r="A1428" s="12" t="s">
        <v>59</v>
      </c>
      <c r="B1428" s="12" t="s">
        <v>1368</v>
      </c>
      <c r="C1428" s="12">
        <v>124</v>
      </c>
      <c r="D1428" s="12">
        <v>1</v>
      </c>
    </row>
    <row r="1429" spans="1:4" ht="28.8" x14ac:dyDescent="0.3">
      <c r="A1429" s="12" t="s">
        <v>59</v>
      </c>
      <c r="B1429" s="12" t="s">
        <v>1509</v>
      </c>
      <c r="C1429" s="12">
        <v>167</v>
      </c>
      <c r="D1429" s="12">
        <v>2</v>
      </c>
    </row>
    <row r="1430" spans="1:4" ht="28.8" x14ac:dyDescent="0.3">
      <c r="A1430" s="12" t="s">
        <v>59</v>
      </c>
      <c r="B1430" s="12" t="s">
        <v>1510</v>
      </c>
      <c r="C1430" s="12">
        <v>109</v>
      </c>
      <c r="D1430" s="12">
        <v>1</v>
      </c>
    </row>
    <row r="1431" spans="1:4" x14ac:dyDescent="0.3">
      <c r="A1431" s="12" t="s">
        <v>59</v>
      </c>
      <c r="B1431" s="12" t="s">
        <v>1511</v>
      </c>
      <c r="C1431" s="12">
        <v>746</v>
      </c>
      <c r="D1431" s="12">
        <v>7</v>
      </c>
    </row>
    <row r="1432" spans="1:4" ht="43.2" x14ac:dyDescent="0.3">
      <c r="A1432" s="12" t="s">
        <v>59</v>
      </c>
      <c r="B1432" s="12" t="s">
        <v>1512</v>
      </c>
      <c r="C1432" s="12">
        <v>133</v>
      </c>
      <c r="D1432" s="12">
        <v>1</v>
      </c>
    </row>
    <row r="1433" spans="1:4" ht="28.8" x14ac:dyDescent="0.3">
      <c r="A1433" s="12" t="s">
        <v>61</v>
      </c>
      <c r="B1433" s="12" t="s">
        <v>1513</v>
      </c>
      <c r="C1433" s="12">
        <v>432</v>
      </c>
      <c r="D1433" s="12">
        <v>4</v>
      </c>
    </row>
    <row r="1434" spans="1:4" ht="28.8" x14ac:dyDescent="0.3">
      <c r="A1434" s="12" t="s">
        <v>61</v>
      </c>
      <c r="B1434" s="12" t="s">
        <v>1514</v>
      </c>
      <c r="C1434" s="12">
        <v>433</v>
      </c>
      <c r="D1434" s="12">
        <v>4</v>
      </c>
    </row>
    <row r="1435" spans="1:4" ht="43.2" x14ac:dyDescent="0.3">
      <c r="A1435" s="12" t="s">
        <v>61</v>
      </c>
      <c r="B1435" s="12" t="s">
        <v>1515</v>
      </c>
      <c r="C1435" s="12">
        <v>468</v>
      </c>
      <c r="D1435" s="12">
        <v>5</v>
      </c>
    </row>
    <row r="1436" spans="1:4" ht="43.2" x14ac:dyDescent="0.3">
      <c r="A1436" s="12" t="s">
        <v>61</v>
      </c>
      <c r="B1436" s="12" t="s">
        <v>1516</v>
      </c>
      <c r="C1436" s="12">
        <v>330</v>
      </c>
      <c r="D1436" s="12">
        <v>3</v>
      </c>
    </row>
    <row r="1437" spans="1:4" ht="43.2" x14ac:dyDescent="0.3">
      <c r="A1437" s="12" t="s">
        <v>61</v>
      </c>
      <c r="B1437" s="12" t="s">
        <v>1517</v>
      </c>
      <c r="C1437" s="12">
        <v>444</v>
      </c>
      <c r="D1437" s="12">
        <v>4</v>
      </c>
    </row>
    <row r="1438" spans="1:4" ht="28.8" x14ac:dyDescent="0.3">
      <c r="A1438" s="12" t="s">
        <v>61</v>
      </c>
      <c r="B1438" s="12" t="s">
        <v>1518</v>
      </c>
      <c r="C1438" s="12">
        <v>550</v>
      </c>
      <c r="D1438" s="12">
        <v>6</v>
      </c>
    </row>
    <row r="1439" spans="1:4" ht="43.2" x14ac:dyDescent="0.3">
      <c r="A1439" s="12" t="s">
        <v>61</v>
      </c>
      <c r="B1439" s="12" t="s">
        <v>1519</v>
      </c>
      <c r="C1439" s="12">
        <v>543</v>
      </c>
      <c r="D1439" s="12">
        <v>5</v>
      </c>
    </row>
    <row r="1440" spans="1:4" ht="43.2" x14ac:dyDescent="0.3">
      <c r="A1440" s="12" t="s">
        <v>61</v>
      </c>
      <c r="B1440" s="12" t="s">
        <v>1520</v>
      </c>
      <c r="C1440" s="12">
        <v>614</v>
      </c>
      <c r="D1440" s="12">
        <v>6</v>
      </c>
    </row>
    <row r="1441" spans="1:4" ht="28.8" x14ac:dyDescent="0.3">
      <c r="A1441" s="12" t="s">
        <v>61</v>
      </c>
      <c r="B1441" s="12" t="s">
        <v>1521</v>
      </c>
      <c r="C1441" s="12">
        <v>526</v>
      </c>
      <c r="D1441" s="12">
        <v>5</v>
      </c>
    </row>
    <row r="1442" spans="1:4" ht="43.2" x14ac:dyDescent="0.3">
      <c r="A1442" s="12" t="s">
        <v>61</v>
      </c>
      <c r="B1442" s="12" t="s">
        <v>1522</v>
      </c>
      <c r="C1442" s="12">
        <v>234</v>
      </c>
      <c r="D1442" s="12">
        <v>2</v>
      </c>
    </row>
    <row r="1443" spans="1:4" ht="43.2" x14ac:dyDescent="0.3">
      <c r="A1443" s="12" t="s">
        <v>61</v>
      </c>
      <c r="B1443" s="12" t="s">
        <v>1523</v>
      </c>
      <c r="C1443" s="12">
        <v>475</v>
      </c>
      <c r="D1443" s="12">
        <v>5</v>
      </c>
    </row>
    <row r="1444" spans="1:4" ht="57.6" x14ac:dyDescent="0.3">
      <c r="A1444" s="12" t="s">
        <v>61</v>
      </c>
      <c r="B1444" s="12" t="s">
        <v>1524</v>
      </c>
      <c r="C1444" s="12">
        <v>499</v>
      </c>
      <c r="D1444" s="12">
        <v>5</v>
      </c>
    </row>
    <row r="1445" spans="1:4" ht="57.6" x14ac:dyDescent="0.3">
      <c r="A1445" s="12" t="s">
        <v>61</v>
      </c>
      <c r="B1445" s="12" t="s">
        <v>1525</v>
      </c>
      <c r="C1445" s="12">
        <v>541</v>
      </c>
      <c r="D1445" s="12">
        <v>5</v>
      </c>
    </row>
    <row r="1446" spans="1:4" x14ac:dyDescent="0.3">
      <c r="A1446" s="12" t="s">
        <v>61</v>
      </c>
      <c r="B1446" s="12" t="s">
        <v>1526</v>
      </c>
      <c r="C1446" s="12">
        <v>342</v>
      </c>
      <c r="D1446" s="12">
        <v>3</v>
      </c>
    </row>
    <row r="1447" spans="1:4" ht="43.2" x14ac:dyDescent="0.3">
      <c r="A1447" s="12" t="s">
        <v>61</v>
      </c>
      <c r="B1447" s="12" t="s">
        <v>1527</v>
      </c>
      <c r="C1447" s="12">
        <v>655</v>
      </c>
      <c r="D1447" s="12">
        <v>7</v>
      </c>
    </row>
    <row r="1448" spans="1:4" ht="43.2" x14ac:dyDescent="0.3">
      <c r="A1448" s="12" t="s">
        <v>61</v>
      </c>
      <c r="B1448" s="12" t="s">
        <v>1528</v>
      </c>
      <c r="C1448" s="12">
        <v>232</v>
      </c>
      <c r="D1448" s="12">
        <v>2</v>
      </c>
    </row>
    <row r="1449" spans="1:4" ht="43.2" x14ac:dyDescent="0.3">
      <c r="A1449" s="12" t="s">
        <v>61</v>
      </c>
      <c r="B1449" s="12" t="s">
        <v>1529</v>
      </c>
      <c r="C1449" s="12">
        <v>579</v>
      </c>
      <c r="D1449" s="12">
        <v>6</v>
      </c>
    </row>
    <row r="1450" spans="1:4" ht="28.8" x14ac:dyDescent="0.3">
      <c r="A1450" s="12" t="s">
        <v>61</v>
      </c>
      <c r="B1450" s="12" t="s">
        <v>1530</v>
      </c>
      <c r="C1450" s="12">
        <v>332</v>
      </c>
      <c r="D1450" s="12">
        <v>3</v>
      </c>
    </row>
    <row r="1451" spans="1:4" ht="43.2" x14ac:dyDescent="0.3">
      <c r="A1451" s="12" t="s">
        <v>61</v>
      </c>
      <c r="B1451" s="12" t="s">
        <v>1531</v>
      </c>
      <c r="C1451" s="12">
        <v>336</v>
      </c>
      <c r="D1451" s="12">
        <v>3</v>
      </c>
    </row>
    <row r="1452" spans="1:4" x14ac:dyDescent="0.3">
      <c r="A1452" s="12" t="s">
        <v>61</v>
      </c>
      <c r="B1452" s="12" t="s">
        <v>387</v>
      </c>
      <c r="C1452" s="12">
        <v>325</v>
      </c>
      <c r="D1452" s="12">
        <v>3</v>
      </c>
    </row>
    <row r="1453" spans="1:4" ht="43.2" x14ac:dyDescent="0.3">
      <c r="A1453" s="12" t="s">
        <v>61</v>
      </c>
      <c r="B1453" s="12" t="s">
        <v>533</v>
      </c>
      <c r="C1453" s="12">
        <v>647</v>
      </c>
      <c r="D1453" s="12">
        <v>6</v>
      </c>
    </row>
    <row r="1454" spans="1:4" ht="43.2" x14ac:dyDescent="0.3">
      <c r="A1454" s="12" t="s">
        <v>61</v>
      </c>
      <c r="B1454" s="12" t="s">
        <v>1532</v>
      </c>
      <c r="C1454" s="12">
        <v>699</v>
      </c>
      <c r="D1454" s="12">
        <v>7</v>
      </c>
    </row>
    <row r="1455" spans="1:4" ht="43.2" x14ac:dyDescent="0.3">
      <c r="A1455" s="12" t="s">
        <v>61</v>
      </c>
      <c r="B1455" s="12" t="s">
        <v>1533</v>
      </c>
      <c r="C1455" s="12">
        <v>1095</v>
      </c>
      <c r="D1455" s="12">
        <v>11</v>
      </c>
    </row>
    <row r="1456" spans="1:4" ht="43.2" x14ac:dyDescent="0.3">
      <c r="A1456" s="12" t="s">
        <v>62</v>
      </c>
      <c r="B1456" s="12" t="s">
        <v>1534</v>
      </c>
      <c r="C1456" s="12">
        <v>163</v>
      </c>
      <c r="D1456" s="12">
        <v>2</v>
      </c>
    </row>
    <row r="1457" spans="1:4" ht="43.2" x14ac:dyDescent="0.3">
      <c r="A1457" s="12" t="s">
        <v>62</v>
      </c>
      <c r="B1457" s="12" t="s">
        <v>1535</v>
      </c>
      <c r="C1457" s="12">
        <v>517</v>
      </c>
      <c r="D1457" s="12">
        <v>5</v>
      </c>
    </row>
    <row r="1458" spans="1:4" x14ac:dyDescent="0.3">
      <c r="A1458" s="12" t="s">
        <v>62</v>
      </c>
      <c r="B1458" s="12" t="s">
        <v>1536</v>
      </c>
      <c r="C1458" s="12">
        <v>469</v>
      </c>
      <c r="D1458" s="12">
        <v>5</v>
      </c>
    </row>
    <row r="1459" spans="1:4" ht="43.2" x14ac:dyDescent="0.3">
      <c r="A1459" s="12" t="s">
        <v>62</v>
      </c>
      <c r="B1459" s="12" t="s">
        <v>1537</v>
      </c>
      <c r="C1459" s="12">
        <v>608</v>
      </c>
      <c r="D1459" s="12">
        <v>6</v>
      </c>
    </row>
    <row r="1460" spans="1:4" x14ac:dyDescent="0.3">
      <c r="A1460" s="12" t="s">
        <v>62</v>
      </c>
      <c r="B1460" s="12" t="s">
        <v>1538</v>
      </c>
      <c r="C1460" s="12">
        <v>455</v>
      </c>
      <c r="D1460" s="12">
        <v>5</v>
      </c>
    </row>
    <row r="1461" spans="1:4" x14ac:dyDescent="0.3">
      <c r="A1461" s="12" t="s">
        <v>62</v>
      </c>
      <c r="B1461" s="12" t="s">
        <v>1539</v>
      </c>
      <c r="C1461" s="12">
        <v>111</v>
      </c>
      <c r="D1461" s="12">
        <v>1</v>
      </c>
    </row>
    <row r="1462" spans="1:4" ht="43.2" x14ac:dyDescent="0.3">
      <c r="A1462" s="12" t="s">
        <v>62</v>
      </c>
      <c r="B1462" s="12" t="s">
        <v>1540</v>
      </c>
      <c r="C1462" s="12">
        <v>688</v>
      </c>
      <c r="D1462" s="12">
        <v>7</v>
      </c>
    </row>
    <row r="1463" spans="1:4" x14ac:dyDescent="0.3">
      <c r="A1463" s="12" t="s">
        <v>62</v>
      </c>
      <c r="B1463" s="12" t="s">
        <v>1541</v>
      </c>
      <c r="C1463" s="12">
        <v>344</v>
      </c>
      <c r="D1463" s="12">
        <v>3</v>
      </c>
    </row>
    <row r="1464" spans="1:4" ht="43.2" x14ac:dyDescent="0.3">
      <c r="A1464" s="12" t="s">
        <v>62</v>
      </c>
      <c r="B1464" s="12" t="s">
        <v>1542</v>
      </c>
      <c r="C1464" s="12">
        <v>517</v>
      </c>
      <c r="D1464" s="12">
        <v>5</v>
      </c>
    </row>
    <row r="1465" spans="1:4" ht="43.2" x14ac:dyDescent="0.3">
      <c r="A1465" s="12" t="s">
        <v>62</v>
      </c>
      <c r="B1465" s="12" t="s">
        <v>1543</v>
      </c>
      <c r="C1465" s="12">
        <v>94</v>
      </c>
      <c r="D1465" s="12">
        <v>1</v>
      </c>
    </row>
    <row r="1466" spans="1:4" ht="43.2" x14ac:dyDescent="0.3">
      <c r="A1466" s="12" t="s">
        <v>62</v>
      </c>
      <c r="B1466" s="12" t="s">
        <v>1544</v>
      </c>
      <c r="C1466" s="12">
        <v>682</v>
      </c>
      <c r="D1466" s="12">
        <v>7</v>
      </c>
    </row>
    <row r="1467" spans="1:4" ht="43.2" x14ac:dyDescent="0.3">
      <c r="A1467" s="12" t="s">
        <v>62</v>
      </c>
      <c r="B1467" s="12" t="s">
        <v>1545</v>
      </c>
      <c r="C1467" s="12">
        <v>627</v>
      </c>
      <c r="D1467" s="12">
        <v>6</v>
      </c>
    </row>
    <row r="1468" spans="1:4" ht="43.2" x14ac:dyDescent="0.3">
      <c r="A1468" s="12" t="s">
        <v>62</v>
      </c>
      <c r="B1468" s="12" t="s">
        <v>1546</v>
      </c>
      <c r="C1468" s="12">
        <v>344</v>
      </c>
      <c r="D1468" s="12">
        <v>3</v>
      </c>
    </row>
    <row r="1469" spans="1:4" ht="43.2" x14ac:dyDescent="0.3">
      <c r="A1469" s="12" t="s">
        <v>62</v>
      </c>
      <c r="B1469" s="12" t="s">
        <v>1547</v>
      </c>
      <c r="C1469" s="12">
        <v>78</v>
      </c>
      <c r="D1469" s="12">
        <v>1</v>
      </c>
    </row>
    <row r="1470" spans="1:4" x14ac:dyDescent="0.3">
      <c r="A1470" s="12" t="s">
        <v>62</v>
      </c>
      <c r="B1470" s="12" t="s">
        <v>1068</v>
      </c>
      <c r="C1470" s="12">
        <v>582</v>
      </c>
      <c r="D1470" s="12">
        <v>6</v>
      </c>
    </row>
    <row r="1471" spans="1:4" ht="28.8" x14ac:dyDescent="0.3">
      <c r="A1471" s="12" t="s">
        <v>63</v>
      </c>
      <c r="B1471" s="12" t="s">
        <v>1548</v>
      </c>
      <c r="C1471" s="12">
        <v>652</v>
      </c>
      <c r="D1471" s="12">
        <v>7</v>
      </c>
    </row>
    <row r="1472" spans="1:4" ht="28.8" x14ac:dyDescent="0.3">
      <c r="A1472" s="12" t="s">
        <v>63</v>
      </c>
      <c r="B1472" s="12" t="s">
        <v>1549</v>
      </c>
      <c r="C1472" s="12">
        <v>252</v>
      </c>
      <c r="D1472" s="12">
        <v>3</v>
      </c>
    </row>
    <row r="1473" spans="1:4" ht="43.2" x14ac:dyDescent="0.3">
      <c r="A1473" s="12" t="s">
        <v>63</v>
      </c>
      <c r="B1473" s="12" t="s">
        <v>1550</v>
      </c>
      <c r="C1473" s="12">
        <v>304</v>
      </c>
      <c r="D1473" s="12">
        <v>3</v>
      </c>
    </row>
    <row r="1474" spans="1:4" ht="28.8" x14ac:dyDescent="0.3">
      <c r="A1474" s="12" t="s">
        <v>63</v>
      </c>
      <c r="B1474" s="12" t="s">
        <v>1551</v>
      </c>
      <c r="C1474" s="12">
        <v>255</v>
      </c>
      <c r="D1474" s="12">
        <v>3</v>
      </c>
    </row>
    <row r="1475" spans="1:4" x14ac:dyDescent="0.3">
      <c r="A1475" s="12" t="s">
        <v>63</v>
      </c>
      <c r="B1475" s="12" t="s">
        <v>176</v>
      </c>
      <c r="C1475" s="12">
        <v>243</v>
      </c>
      <c r="D1475" s="12">
        <v>2</v>
      </c>
    </row>
    <row r="1476" spans="1:4" ht="28.8" x14ac:dyDescent="0.3">
      <c r="A1476" s="12" t="s">
        <v>63</v>
      </c>
      <c r="B1476" s="12" t="s">
        <v>1552</v>
      </c>
      <c r="C1476" s="12">
        <v>1189</v>
      </c>
      <c r="D1476" s="12">
        <v>12</v>
      </c>
    </row>
    <row r="1477" spans="1:4" ht="43.2" x14ac:dyDescent="0.3">
      <c r="A1477" s="12" t="s">
        <v>63</v>
      </c>
      <c r="B1477" s="12" t="s">
        <v>1553</v>
      </c>
      <c r="C1477" s="12">
        <v>709</v>
      </c>
      <c r="D1477" s="12">
        <v>7</v>
      </c>
    </row>
    <row r="1478" spans="1:4" ht="43.2" x14ac:dyDescent="0.3">
      <c r="A1478" s="12" t="s">
        <v>63</v>
      </c>
      <c r="B1478" s="12" t="s">
        <v>1554</v>
      </c>
      <c r="C1478" s="12">
        <v>111</v>
      </c>
      <c r="D1478" s="12">
        <v>1</v>
      </c>
    </row>
    <row r="1479" spans="1:4" ht="28.8" x14ac:dyDescent="0.3">
      <c r="A1479" s="12" t="s">
        <v>63</v>
      </c>
      <c r="B1479" s="12" t="s">
        <v>1555</v>
      </c>
      <c r="C1479" s="12">
        <v>154</v>
      </c>
      <c r="D1479" s="12">
        <v>2</v>
      </c>
    </row>
    <row r="1480" spans="1:4" ht="43.2" x14ac:dyDescent="0.3">
      <c r="A1480" s="12" t="s">
        <v>63</v>
      </c>
      <c r="B1480" s="12" t="s">
        <v>1556</v>
      </c>
      <c r="C1480" s="12">
        <v>325</v>
      </c>
      <c r="D1480" s="12">
        <v>3</v>
      </c>
    </row>
    <row r="1481" spans="1:4" ht="28.8" x14ac:dyDescent="0.3">
      <c r="A1481" s="12" t="s">
        <v>63</v>
      </c>
      <c r="B1481" s="12" t="s">
        <v>1557</v>
      </c>
      <c r="C1481" s="12">
        <v>233</v>
      </c>
      <c r="D1481" s="12">
        <v>2</v>
      </c>
    </row>
    <row r="1482" spans="1:4" ht="28.8" x14ac:dyDescent="0.3">
      <c r="A1482" s="12" t="s">
        <v>63</v>
      </c>
      <c r="B1482" s="12" t="s">
        <v>1558</v>
      </c>
      <c r="C1482" s="12">
        <v>369</v>
      </c>
      <c r="D1482" s="12">
        <v>4</v>
      </c>
    </row>
    <row r="1483" spans="1:4" ht="28.8" x14ac:dyDescent="0.3">
      <c r="A1483" s="12" t="s">
        <v>64</v>
      </c>
      <c r="B1483" s="12" t="s">
        <v>1559</v>
      </c>
      <c r="C1483" s="12">
        <v>234</v>
      </c>
      <c r="D1483" s="12">
        <v>2</v>
      </c>
    </row>
    <row r="1484" spans="1:4" ht="28.8" x14ac:dyDescent="0.3">
      <c r="A1484" s="12" t="s">
        <v>64</v>
      </c>
      <c r="B1484" s="12" t="s">
        <v>1560</v>
      </c>
      <c r="C1484" s="12">
        <v>294</v>
      </c>
      <c r="D1484" s="12">
        <v>3</v>
      </c>
    </row>
    <row r="1485" spans="1:4" ht="28.8" x14ac:dyDescent="0.3">
      <c r="A1485" s="12" t="s">
        <v>64</v>
      </c>
      <c r="B1485" s="12" t="s">
        <v>1561</v>
      </c>
      <c r="C1485" s="12">
        <v>329</v>
      </c>
      <c r="D1485" s="12">
        <v>3</v>
      </c>
    </row>
    <row r="1486" spans="1:4" ht="28.8" x14ac:dyDescent="0.3">
      <c r="A1486" s="12" t="s">
        <v>64</v>
      </c>
      <c r="B1486" s="12" t="s">
        <v>1562</v>
      </c>
      <c r="C1486" s="12">
        <v>200</v>
      </c>
      <c r="D1486" s="12">
        <v>2</v>
      </c>
    </row>
    <row r="1487" spans="1:4" ht="43.2" x14ac:dyDescent="0.3">
      <c r="A1487" s="12" t="s">
        <v>64</v>
      </c>
      <c r="B1487" s="12" t="s">
        <v>1563</v>
      </c>
      <c r="C1487" s="12">
        <v>374</v>
      </c>
      <c r="D1487" s="12">
        <v>4</v>
      </c>
    </row>
    <row r="1488" spans="1:4" ht="28.8" x14ac:dyDescent="0.3">
      <c r="A1488" s="12" t="s">
        <v>64</v>
      </c>
      <c r="B1488" s="12" t="s">
        <v>1564</v>
      </c>
      <c r="C1488" s="12">
        <v>126</v>
      </c>
      <c r="D1488" s="12">
        <v>1</v>
      </c>
    </row>
    <row r="1489" spans="1:4" ht="43.2" x14ac:dyDescent="0.3">
      <c r="A1489" s="12" t="s">
        <v>64</v>
      </c>
      <c r="B1489" s="12" t="s">
        <v>1565</v>
      </c>
      <c r="C1489" s="12">
        <v>509</v>
      </c>
      <c r="D1489" s="12">
        <v>5</v>
      </c>
    </row>
    <row r="1490" spans="1:4" ht="28.8" x14ac:dyDescent="0.3">
      <c r="A1490" s="12" t="s">
        <v>64</v>
      </c>
      <c r="B1490" s="12" t="s">
        <v>1566</v>
      </c>
      <c r="C1490" s="12">
        <v>105</v>
      </c>
      <c r="D1490" s="12">
        <v>1</v>
      </c>
    </row>
    <row r="1491" spans="1:4" ht="43.2" x14ac:dyDescent="0.3">
      <c r="A1491" s="12" t="s">
        <v>64</v>
      </c>
      <c r="B1491" s="12" t="s">
        <v>1567</v>
      </c>
      <c r="C1491" s="12">
        <v>430</v>
      </c>
      <c r="D1491" s="12">
        <v>4</v>
      </c>
    </row>
    <row r="1492" spans="1:4" ht="43.2" x14ac:dyDescent="0.3">
      <c r="A1492" s="12" t="s">
        <v>64</v>
      </c>
      <c r="B1492" s="12" t="s">
        <v>1568</v>
      </c>
      <c r="C1492" s="12">
        <v>543</v>
      </c>
      <c r="D1492" s="12">
        <v>5</v>
      </c>
    </row>
    <row r="1493" spans="1:4" ht="43.2" x14ac:dyDescent="0.3">
      <c r="A1493" s="12" t="s">
        <v>64</v>
      </c>
      <c r="B1493" s="12" t="s">
        <v>1569</v>
      </c>
      <c r="C1493" s="12">
        <v>195</v>
      </c>
      <c r="D1493" s="12">
        <v>2</v>
      </c>
    </row>
    <row r="1494" spans="1:4" ht="43.2" x14ac:dyDescent="0.3">
      <c r="A1494" s="12" t="s">
        <v>64</v>
      </c>
      <c r="B1494" s="12" t="s">
        <v>1570</v>
      </c>
      <c r="C1494" s="12">
        <v>1151</v>
      </c>
      <c r="D1494" s="12">
        <v>12</v>
      </c>
    </row>
    <row r="1495" spans="1:4" ht="43.2" x14ac:dyDescent="0.3">
      <c r="A1495" s="12" t="s">
        <v>64</v>
      </c>
      <c r="B1495" s="12" t="s">
        <v>1571</v>
      </c>
      <c r="C1495" s="12">
        <v>1265</v>
      </c>
      <c r="D1495" s="12">
        <v>13</v>
      </c>
    </row>
    <row r="1496" spans="1:4" ht="43.2" x14ac:dyDescent="0.3">
      <c r="A1496" s="12" t="s">
        <v>65</v>
      </c>
      <c r="B1496" s="12" t="s">
        <v>1572</v>
      </c>
      <c r="C1496" s="12">
        <v>588</v>
      </c>
      <c r="D1496" s="12">
        <v>6</v>
      </c>
    </row>
    <row r="1497" spans="1:4" ht="43.2" x14ac:dyDescent="0.3">
      <c r="A1497" s="12" t="s">
        <v>65</v>
      </c>
      <c r="B1497" s="12" t="s">
        <v>1573</v>
      </c>
      <c r="C1497" s="12">
        <v>376</v>
      </c>
      <c r="D1497" s="12">
        <v>4</v>
      </c>
    </row>
    <row r="1498" spans="1:4" ht="43.2" x14ac:dyDescent="0.3">
      <c r="A1498" s="12" t="s">
        <v>65</v>
      </c>
      <c r="B1498" s="12" t="s">
        <v>1574</v>
      </c>
      <c r="C1498" s="12">
        <v>289</v>
      </c>
      <c r="D1498" s="12">
        <v>3</v>
      </c>
    </row>
    <row r="1499" spans="1:4" ht="28.8" x14ac:dyDescent="0.3">
      <c r="A1499" s="12" t="s">
        <v>65</v>
      </c>
      <c r="B1499" s="12" t="s">
        <v>1575</v>
      </c>
      <c r="C1499" s="12">
        <v>232</v>
      </c>
      <c r="D1499" s="12">
        <v>2</v>
      </c>
    </row>
    <row r="1500" spans="1:4" ht="43.2" x14ac:dyDescent="0.3">
      <c r="A1500" s="12" t="s">
        <v>65</v>
      </c>
      <c r="B1500" s="12" t="s">
        <v>1576</v>
      </c>
      <c r="C1500" s="12">
        <v>642</v>
      </c>
      <c r="D1500" s="12">
        <v>6</v>
      </c>
    </row>
    <row r="1501" spans="1:4" ht="43.2" x14ac:dyDescent="0.3">
      <c r="A1501" s="12" t="s">
        <v>65</v>
      </c>
      <c r="B1501" s="12" t="s">
        <v>1577</v>
      </c>
      <c r="C1501" s="12">
        <v>537</v>
      </c>
      <c r="D1501" s="12">
        <v>5</v>
      </c>
    </row>
    <row r="1502" spans="1:4" ht="43.2" x14ac:dyDescent="0.3">
      <c r="A1502" s="12" t="s">
        <v>65</v>
      </c>
      <c r="B1502" s="12" t="s">
        <v>1578</v>
      </c>
      <c r="C1502" s="12">
        <v>195</v>
      </c>
      <c r="D1502" s="12">
        <v>2</v>
      </c>
    </row>
    <row r="1503" spans="1:4" ht="43.2" x14ac:dyDescent="0.3">
      <c r="A1503" s="12" t="s">
        <v>65</v>
      </c>
      <c r="B1503" s="12" t="s">
        <v>1579</v>
      </c>
      <c r="C1503" s="12">
        <v>204</v>
      </c>
      <c r="D1503" s="12">
        <v>2</v>
      </c>
    </row>
    <row r="1504" spans="1:4" ht="43.2" x14ac:dyDescent="0.3">
      <c r="A1504" s="12" t="s">
        <v>65</v>
      </c>
      <c r="B1504" s="12" t="s">
        <v>1580</v>
      </c>
      <c r="C1504" s="12">
        <v>192</v>
      </c>
      <c r="D1504" s="12">
        <v>2</v>
      </c>
    </row>
    <row r="1505" spans="1:4" ht="43.2" x14ac:dyDescent="0.3">
      <c r="A1505" s="12" t="s">
        <v>65</v>
      </c>
      <c r="B1505" s="12" t="s">
        <v>1581</v>
      </c>
      <c r="C1505" s="12">
        <v>258</v>
      </c>
      <c r="D1505" s="12">
        <v>3</v>
      </c>
    </row>
    <row r="1506" spans="1:4" x14ac:dyDescent="0.3">
      <c r="A1506" s="12" t="s">
        <v>65</v>
      </c>
      <c r="B1506" s="12" t="s">
        <v>1582</v>
      </c>
      <c r="C1506" s="12">
        <v>598</v>
      </c>
      <c r="D1506" s="12">
        <v>6</v>
      </c>
    </row>
    <row r="1507" spans="1:4" ht="28.8" x14ac:dyDescent="0.3">
      <c r="A1507" s="12" t="s">
        <v>65</v>
      </c>
      <c r="B1507" s="12" t="s">
        <v>1583</v>
      </c>
      <c r="C1507" s="12">
        <v>138</v>
      </c>
      <c r="D1507" s="12">
        <v>1</v>
      </c>
    </row>
    <row r="1508" spans="1:4" ht="28.8" x14ac:dyDescent="0.3">
      <c r="A1508" s="12" t="s">
        <v>65</v>
      </c>
      <c r="B1508" s="12" t="s">
        <v>1584</v>
      </c>
      <c r="C1508" s="12">
        <v>299</v>
      </c>
      <c r="D1508" s="12">
        <v>3</v>
      </c>
    </row>
    <row r="1509" spans="1:4" ht="28.8" x14ac:dyDescent="0.3">
      <c r="A1509" s="12" t="s">
        <v>65</v>
      </c>
      <c r="B1509" s="12" t="s">
        <v>1585</v>
      </c>
      <c r="C1509" s="12">
        <v>221</v>
      </c>
      <c r="D1509" s="12">
        <v>2</v>
      </c>
    </row>
    <row r="1510" spans="1:4" ht="57.6" x14ac:dyDescent="0.3">
      <c r="A1510" s="12" t="s">
        <v>65</v>
      </c>
      <c r="B1510" s="12" t="s">
        <v>1586</v>
      </c>
      <c r="C1510" s="12">
        <v>464</v>
      </c>
      <c r="D1510" s="12">
        <v>5</v>
      </c>
    </row>
    <row r="1511" spans="1:4" ht="43.2" x14ac:dyDescent="0.3">
      <c r="A1511" s="12" t="s">
        <v>65</v>
      </c>
      <c r="B1511" s="12" t="s">
        <v>1587</v>
      </c>
      <c r="C1511" s="12">
        <v>108</v>
      </c>
      <c r="D1511" s="12">
        <v>1</v>
      </c>
    </row>
    <row r="1512" spans="1:4" ht="43.2" x14ac:dyDescent="0.3">
      <c r="A1512" s="12" t="s">
        <v>65</v>
      </c>
      <c r="B1512" s="12" t="s">
        <v>1588</v>
      </c>
      <c r="C1512" s="12">
        <v>681</v>
      </c>
      <c r="D1512" s="12">
        <v>7</v>
      </c>
    </row>
    <row r="1513" spans="1:4" ht="28.8" x14ac:dyDescent="0.3">
      <c r="A1513" s="12" t="s">
        <v>66</v>
      </c>
      <c r="B1513" s="12" t="s">
        <v>1589</v>
      </c>
      <c r="C1513" s="12">
        <v>712</v>
      </c>
      <c r="D1513" s="12">
        <v>7</v>
      </c>
    </row>
    <row r="1514" spans="1:4" ht="28.8" x14ac:dyDescent="0.3">
      <c r="A1514" s="12" t="s">
        <v>66</v>
      </c>
      <c r="B1514" s="12" t="s">
        <v>1590</v>
      </c>
      <c r="C1514" s="12">
        <v>1722</v>
      </c>
      <c r="D1514" s="12">
        <v>17</v>
      </c>
    </row>
    <row r="1515" spans="1:4" ht="28.8" x14ac:dyDescent="0.3">
      <c r="A1515" s="12" t="s">
        <v>66</v>
      </c>
      <c r="B1515" s="12" t="s">
        <v>1591</v>
      </c>
      <c r="C1515" s="12">
        <v>1285</v>
      </c>
      <c r="D1515" s="12">
        <v>13</v>
      </c>
    </row>
    <row r="1516" spans="1:4" ht="28.8" x14ac:dyDescent="0.3">
      <c r="A1516" s="12" t="s">
        <v>66</v>
      </c>
      <c r="B1516" s="12" t="s">
        <v>1592</v>
      </c>
      <c r="C1516" s="12">
        <v>1091</v>
      </c>
      <c r="D1516" s="12">
        <v>11</v>
      </c>
    </row>
    <row r="1517" spans="1:4" ht="28.8" x14ac:dyDescent="0.3">
      <c r="A1517" s="12" t="s">
        <v>66</v>
      </c>
      <c r="B1517" s="12" t="s">
        <v>1593</v>
      </c>
      <c r="C1517" s="12">
        <v>800</v>
      </c>
      <c r="D1517" s="12">
        <v>8</v>
      </c>
    </row>
    <row r="1518" spans="1:4" ht="28.8" x14ac:dyDescent="0.3">
      <c r="A1518" s="12" t="s">
        <v>66</v>
      </c>
      <c r="B1518" s="12" t="s">
        <v>1594</v>
      </c>
      <c r="C1518" s="12">
        <v>1203</v>
      </c>
      <c r="D1518" s="12">
        <v>12</v>
      </c>
    </row>
    <row r="1519" spans="1:4" ht="28.8" x14ac:dyDescent="0.3">
      <c r="A1519" s="12" t="s">
        <v>66</v>
      </c>
      <c r="B1519" s="12" t="s">
        <v>1595</v>
      </c>
      <c r="C1519" s="12">
        <v>906</v>
      </c>
      <c r="D1519" s="12">
        <v>9</v>
      </c>
    </row>
    <row r="1520" spans="1:4" ht="28.8" x14ac:dyDescent="0.3">
      <c r="A1520" s="12" t="s">
        <v>66</v>
      </c>
      <c r="B1520" s="12" t="s">
        <v>1596</v>
      </c>
      <c r="C1520" s="12">
        <v>975</v>
      </c>
      <c r="D1520" s="12">
        <v>10</v>
      </c>
    </row>
    <row r="1521" spans="1:4" ht="28.8" x14ac:dyDescent="0.3">
      <c r="A1521" s="12" t="s">
        <v>66</v>
      </c>
      <c r="B1521" s="12" t="s">
        <v>1597</v>
      </c>
      <c r="C1521" s="12">
        <v>1640</v>
      </c>
      <c r="D1521" s="12">
        <v>16</v>
      </c>
    </row>
    <row r="1522" spans="1:4" ht="28.8" x14ac:dyDescent="0.3">
      <c r="A1522" s="12" t="s">
        <v>66</v>
      </c>
      <c r="B1522" s="12" t="s">
        <v>1598</v>
      </c>
      <c r="C1522" s="12">
        <v>1344</v>
      </c>
      <c r="D1522" s="12">
        <v>13</v>
      </c>
    </row>
    <row r="1523" spans="1:4" ht="28.8" x14ac:dyDescent="0.3">
      <c r="A1523" s="12" t="s">
        <v>66</v>
      </c>
      <c r="B1523" s="12" t="s">
        <v>1599</v>
      </c>
      <c r="C1523" s="12">
        <v>3890</v>
      </c>
      <c r="D1523" s="12">
        <v>39</v>
      </c>
    </row>
    <row r="1524" spans="1:4" ht="28.8" x14ac:dyDescent="0.3">
      <c r="A1524" s="12" t="s">
        <v>66</v>
      </c>
      <c r="B1524" s="12" t="s">
        <v>1600</v>
      </c>
      <c r="C1524" s="12">
        <v>1448</v>
      </c>
      <c r="D1524" s="12">
        <v>14</v>
      </c>
    </row>
    <row r="1525" spans="1:4" ht="28.8" x14ac:dyDescent="0.3">
      <c r="A1525" s="12" t="s">
        <v>66</v>
      </c>
      <c r="B1525" s="12" t="s">
        <v>1601</v>
      </c>
      <c r="C1525" s="12">
        <v>1705</v>
      </c>
      <c r="D1525" s="12">
        <v>17</v>
      </c>
    </row>
    <row r="1526" spans="1:4" ht="28.8" x14ac:dyDescent="0.3">
      <c r="A1526" s="12" t="s">
        <v>66</v>
      </c>
      <c r="B1526" s="12" t="s">
        <v>1602</v>
      </c>
      <c r="C1526" s="12">
        <v>1382</v>
      </c>
      <c r="D1526" s="12">
        <v>14</v>
      </c>
    </row>
    <row r="1527" spans="1:4" ht="28.8" x14ac:dyDescent="0.3">
      <c r="A1527" s="12" t="s">
        <v>66</v>
      </c>
      <c r="B1527" s="12" t="s">
        <v>1603</v>
      </c>
      <c r="C1527" s="12">
        <v>1866</v>
      </c>
      <c r="D1527" s="12">
        <v>19</v>
      </c>
    </row>
    <row r="1528" spans="1:4" ht="28.8" x14ac:dyDescent="0.3">
      <c r="A1528" s="12" t="s">
        <v>66</v>
      </c>
      <c r="B1528" s="12" t="s">
        <v>1604</v>
      </c>
      <c r="C1528" s="12">
        <v>1901</v>
      </c>
      <c r="D1528" s="12">
        <v>19</v>
      </c>
    </row>
    <row r="1529" spans="1:4" ht="28.8" x14ac:dyDescent="0.3">
      <c r="A1529" s="12" t="s">
        <v>66</v>
      </c>
      <c r="B1529" s="12" t="s">
        <v>1605</v>
      </c>
      <c r="C1529" s="12">
        <v>1124</v>
      </c>
      <c r="D1529" s="12">
        <v>11</v>
      </c>
    </row>
    <row r="1530" spans="1:4" ht="28.8" x14ac:dyDescent="0.3">
      <c r="A1530" s="12" t="s">
        <v>66</v>
      </c>
      <c r="B1530" s="12" t="s">
        <v>1606</v>
      </c>
      <c r="C1530" s="12">
        <v>658</v>
      </c>
      <c r="D1530" s="12">
        <v>7</v>
      </c>
    </row>
    <row r="1531" spans="1:4" ht="28.8" x14ac:dyDescent="0.3">
      <c r="A1531" s="12" t="s">
        <v>66</v>
      </c>
      <c r="B1531" s="12" t="s">
        <v>1607</v>
      </c>
      <c r="C1531" s="12">
        <v>708</v>
      </c>
      <c r="D1531" s="12">
        <v>7</v>
      </c>
    </row>
    <row r="1532" spans="1:4" ht="28.8" x14ac:dyDescent="0.3">
      <c r="A1532" s="12" t="s">
        <v>66</v>
      </c>
      <c r="B1532" s="12" t="s">
        <v>1608</v>
      </c>
      <c r="C1532" s="12">
        <v>1138</v>
      </c>
      <c r="D1532" s="12">
        <v>11</v>
      </c>
    </row>
    <row r="1533" spans="1:4" ht="28.8" x14ac:dyDescent="0.3">
      <c r="A1533" s="12" t="s">
        <v>66</v>
      </c>
      <c r="B1533" s="12" t="s">
        <v>1609</v>
      </c>
      <c r="C1533" s="12">
        <v>1069</v>
      </c>
      <c r="D1533" s="12">
        <v>11</v>
      </c>
    </row>
    <row r="1534" spans="1:4" ht="28.8" x14ac:dyDescent="0.3">
      <c r="A1534" s="12" t="s">
        <v>66</v>
      </c>
      <c r="B1534" s="12" t="s">
        <v>1610</v>
      </c>
      <c r="C1534" s="12">
        <v>3301</v>
      </c>
      <c r="D1534" s="12">
        <v>33</v>
      </c>
    </row>
    <row r="1535" spans="1:4" ht="28.8" x14ac:dyDescent="0.3">
      <c r="A1535" s="12" t="s">
        <v>66</v>
      </c>
      <c r="B1535" s="12" t="s">
        <v>1611</v>
      </c>
      <c r="C1535" s="12">
        <v>1040</v>
      </c>
      <c r="D1535" s="12">
        <v>10</v>
      </c>
    </row>
    <row r="1536" spans="1:4" ht="28.8" x14ac:dyDescent="0.3">
      <c r="A1536" s="12" t="s">
        <v>66</v>
      </c>
      <c r="B1536" s="12" t="s">
        <v>1612</v>
      </c>
      <c r="C1536" s="12">
        <v>1510</v>
      </c>
      <c r="D1536" s="12">
        <v>15</v>
      </c>
    </row>
    <row r="1537" spans="1:4" ht="28.8" x14ac:dyDescent="0.3">
      <c r="A1537" s="12" t="s">
        <v>66</v>
      </c>
      <c r="B1537" s="12" t="s">
        <v>1613</v>
      </c>
      <c r="C1537" s="12">
        <v>1354</v>
      </c>
      <c r="D1537" s="12">
        <v>14</v>
      </c>
    </row>
    <row r="1538" spans="1:4" ht="28.8" x14ac:dyDescent="0.3">
      <c r="A1538" s="12" t="s">
        <v>66</v>
      </c>
      <c r="B1538" s="12" t="s">
        <v>1614</v>
      </c>
      <c r="C1538" s="12">
        <v>1843</v>
      </c>
      <c r="D1538" s="12">
        <v>18</v>
      </c>
    </row>
    <row r="1539" spans="1:4" ht="28.8" x14ac:dyDescent="0.3">
      <c r="A1539" s="12" t="s">
        <v>66</v>
      </c>
      <c r="B1539" s="12" t="s">
        <v>1615</v>
      </c>
      <c r="C1539" s="12">
        <v>1354</v>
      </c>
      <c r="D1539" s="12">
        <v>14</v>
      </c>
    </row>
    <row r="1540" spans="1:4" ht="28.8" x14ac:dyDescent="0.3">
      <c r="A1540" s="12" t="s">
        <v>66</v>
      </c>
      <c r="B1540" s="12" t="s">
        <v>1616</v>
      </c>
      <c r="C1540" s="12">
        <v>1192</v>
      </c>
      <c r="D1540" s="12">
        <v>12</v>
      </c>
    </row>
    <row r="1541" spans="1:4" ht="28.8" x14ac:dyDescent="0.3">
      <c r="A1541" s="12" t="s">
        <v>66</v>
      </c>
      <c r="B1541" s="12" t="s">
        <v>1617</v>
      </c>
      <c r="C1541" s="12">
        <v>1020</v>
      </c>
      <c r="D1541" s="12">
        <v>10</v>
      </c>
    </row>
    <row r="1542" spans="1:4" ht="28.8" x14ac:dyDescent="0.3">
      <c r="A1542" s="12" t="s">
        <v>66</v>
      </c>
      <c r="B1542" s="12" t="s">
        <v>1618</v>
      </c>
      <c r="C1542" s="12">
        <v>1756</v>
      </c>
      <c r="D1542" s="12">
        <v>18</v>
      </c>
    </row>
    <row r="1543" spans="1:4" ht="28.8" x14ac:dyDescent="0.3">
      <c r="A1543" s="12" t="s">
        <v>66</v>
      </c>
      <c r="B1543" s="12" t="s">
        <v>1619</v>
      </c>
      <c r="C1543" s="12">
        <v>1393</v>
      </c>
      <c r="D1543" s="12">
        <v>14</v>
      </c>
    </row>
    <row r="1544" spans="1:4" ht="28.8" x14ac:dyDescent="0.3">
      <c r="A1544" s="12" t="s">
        <v>66</v>
      </c>
      <c r="B1544" s="12" t="s">
        <v>1620</v>
      </c>
      <c r="C1544" s="12">
        <v>734</v>
      </c>
      <c r="D1544" s="12">
        <v>7</v>
      </c>
    </row>
    <row r="1545" spans="1:4" ht="28.8" x14ac:dyDescent="0.3">
      <c r="A1545" s="12" t="s">
        <v>66</v>
      </c>
      <c r="B1545" s="12" t="s">
        <v>1621</v>
      </c>
      <c r="C1545" s="12">
        <v>1010</v>
      </c>
      <c r="D1545" s="12">
        <v>10</v>
      </c>
    </row>
    <row r="1546" spans="1:4" ht="28.8" x14ac:dyDescent="0.3">
      <c r="A1546" s="12" t="s">
        <v>66</v>
      </c>
      <c r="B1546" s="12" t="s">
        <v>1622</v>
      </c>
      <c r="C1546" s="12">
        <v>1147</v>
      </c>
      <c r="D1546" s="12">
        <v>11</v>
      </c>
    </row>
    <row r="1547" spans="1:4" ht="28.8" x14ac:dyDescent="0.3">
      <c r="A1547" s="12" t="s">
        <v>66</v>
      </c>
      <c r="B1547" s="12" t="s">
        <v>1623</v>
      </c>
      <c r="C1547" s="12">
        <v>804</v>
      </c>
      <c r="D1547" s="12">
        <v>8</v>
      </c>
    </row>
    <row r="1548" spans="1:4" ht="28.8" x14ac:dyDescent="0.3">
      <c r="A1548" s="12" t="s">
        <v>66</v>
      </c>
      <c r="B1548" s="12" t="s">
        <v>1624</v>
      </c>
      <c r="C1548" s="12">
        <v>1074</v>
      </c>
      <c r="D1548" s="12">
        <v>11</v>
      </c>
    </row>
    <row r="1549" spans="1:4" ht="28.8" x14ac:dyDescent="0.3">
      <c r="A1549" s="12" t="s">
        <v>66</v>
      </c>
      <c r="B1549" s="12" t="s">
        <v>1625</v>
      </c>
      <c r="C1549" s="12">
        <v>902</v>
      </c>
      <c r="D1549" s="12">
        <v>9</v>
      </c>
    </row>
    <row r="1550" spans="1:4" ht="28.8" x14ac:dyDescent="0.3">
      <c r="A1550" s="12" t="s">
        <v>66</v>
      </c>
      <c r="B1550" s="12" t="s">
        <v>1626</v>
      </c>
      <c r="C1550" s="12">
        <v>989</v>
      </c>
      <c r="D1550" s="12">
        <v>10</v>
      </c>
    </row>
    <row r="1551" spans="1:4" ht="28.8" x14ac:dyDescent="0.3">
      <c r="A1551" s="12" t="s">
        <v>66</v>
      </c>
      <c r="B1551" s="12" t="s">
        <v>1627</v>
      </c>
      <c r="C1551" s="12">
        <v>1354</v>
      </c>
      <c r="D1551" s="12">
        <v>14</v>
      </c>
    </row>
    <row r="1552" spans="1:4" ht="28.8" x14ac:dyDescent="0.3">
      <c r="A1552" s="12" t="s">
        <v>66</v>
      </c>
      <c r="B1552" s="12" t="s">
        <v>1628</v>
      </c>
      <c r="C1552" s="12">
        <v>1318</v>
      </c>
      <c r="D1552" s="12">
        <v>13</v>
      </c>
    </row>
    <row r="1553" spans="1:4" ht="28.8" x14ac:dyDescent="0.3">
      <c r="A1553" s="12" t="s">
        <v>66</v>
      </c>
      <c r="B1553" s="12" t="s">
        <v>1629</v>
      </c>
      <c r="C1553" s="12">
        <v>1349</v>
      </c>
      <c r="D1553" s="12">
        <v>13</v>
      </c>
    </row>
    <row r="1554" spans="1:4" ht="28.8" x14ac:dyDescent="0.3">
      <c r="A1554" s="12" t="s">
        <v>66</v>
      </c>
      <c r="B1554" s="12" t="s">
        <v>1630</v>
      </c>
      <c r="C1554" s="12">
        <v>1585</v>
      </c>
      <c r="D1554" s="12">
        <v>16</v>
      </c>
    </row>
    <row r="1555" spans="1:4" ht="28.8" x14ac:dyDescent="0.3">
      <c r="A1555" s="12" t="s">
        <v>66</v>
      </c>
      <c r="B1555" s="12" t="s">
        <v>1631</v>
      </c>
      <c r="C1555" s="12">
        <v>1590</v>
      </c>
      <c r="D1555" s="12">
        <v>16</v>
      </c>
    </row>
    <row r="1556" spans="1:4" ht="28.8" x14ac:dyDescent="0.3">
      <c r="A1556" s="12" t="s">
        <v>66</v>
      </c>
      <c r="B1556" s="12" t="s">
        <v>1632</v>
      </c>
      <c r="C1556" s="12">
        <v>900</v>
      </c>
      <c r="D1556" s="12">
        <v>9</v>
      </c>
    </row>
    <row r="1557" spans="1:4" ht="28.8" x14ac:dyDescent="0.3">
      <c r="A1557" s="12" t="s">
        <v>66</v>
      </c>
      <c r="B1557" s="12" t="s">
        <v>1633</v>
      </c>
      <c r="C1557" s="12">
        <v>844</v>
      </c>
      <c r="D1557" s="12">
        <v>8</v>
      </c>
    </row>
    <row r="1558" spans="1:4" ht="28.8" x14ac:dyDescent="0.3">
      <c r="A1558" s="12" t="s">
        <v>66</v>
      </c>
      <c r="B1558" s="12" t="s">
        <v>1634</v>
      </c>
      <c r="C1558" s="12">
        <v>1463</v>
      </c>
      <c r="D1558" s="12">
        <v>15</v>
      </c>
    </row>
    <row r="1559" spans="1:4" ht="28.8" x14ac:dyDescent="0.3">
      <c r="A1559" s="12" t="s">
        <v>66</v>
      </c>
      <c r="B1559" s="12" t="s">
        <v>1635</v>
      </c>
      <c r="C1559" s="12">
        <v>1162</v>
      </c>
      <c r="D1559" s="12">
        <v>12</v>
      </c>
    </row>
    <row r="1560" spans="1:4" ht="28.8" x14ac:dyDescent="0.3">
      <c r="A1560" s="12" t="s">
        <v>66</v>
      </c>
      <c r="B1560" s="12" t="s">
        <v>1636</v>
      </c>
      <c r="C1560" s="12">
        <v>694</v>
      </c>
      <c r="D1560" s="12">
        <v>7</v>
      </c>
    </row>
    <row r="1561" spans="1:4" ht="28.8" x14ac:dyDescent="0.3">
      <c r="A1561" s="12" t="s">
        <v>66</v>
      </c>
      <c r="B1561" s="12" t="s">
        <v>1637</v>
      </c>
      <c r="C1561" s="12">
        <v>1001</v>
      </c>
      <c r="D1561" s="12">
        <v>10</v>
      </c>
    </row>
    <row r="1562" spans="1:4" ht="28.8" x14ac:dyDescent="0.3">
      <c r="A1562" s="12" t="s">
        <v>66</v>
      </c>
      <c r="B1562" s="12" t="s">
        <v>1638</v>
      </c>
      <c r="C1562" s="12">
        <v>864</v>
      </c>
      <c r="D1562" s="12">
        <v>9</v>
      </c>
    </row>
    <row r="1563" spans="1:4" ht="28.8" x14ac:dyDescent="0.3">
      <c r="A1563" s="12" t="s">
        <v>66</v>
      </c>
      <c r="B1563" s="12" t="s">
        <v>1639</v>
      </c>
      <c r="C1563" s="12">
        <v>1322</v>
      </c>
      <c r="D1563" s="12">
        <v>13</v>
      </c>
    </row>
    <row r="1564" spans="1:4" ht="28.8" x14ac:dyDescent="0.3">
      <c r="A1564" s="12" t="s">
        <v>66</v>
      </c>
      <c r="B1564" s="12" t="s">
        <v>1640</v>
      </c>
      <c r="C1564" s="12">
        <v>1528</v>
      </c>
      <c r="D1564" s="12">
        <v>15</v>
      </c>
    </row>
    <row r="1565" spans="1:4" ht="28.8" x14ac:dyDescent="0.3">
      <c r="A1565" s="12" t="s">
        <v>66</v>
      </c>
      <c r="B1565" s="12" t="s">
        <v>1641</v>
      </c>
      <c r="C1565" s="12">
        <v>1796</v>
      </c>
      <c r="D1565" s="12">
        <v>18</v>
      </c>
    </row>
    <row r="1566" spans="1:4" ht="28.8" x14ac:dyDescent="0.3">
      <c r="A1566" s="12" t="s">
        <v>66</v>
      </c>
      <c r="B1566" s="12" t="s">
        <v>1642</v>
      </c>
      <c r="C1566" s="12">
        <v>1671</v>
      </c>
      <c r="D1566" s="12">
        <v>17</v>
      </c>
    </row>
    <row r="1567" spans="1:4" ht="28.8" x14ac:dyDescent="0.3">
      <c r="A1567" s="12" t="s">
        <v>66</v>
      </c>
      <c r="B1567" s="12" t="s">
        <v>1643</v>
      </c>
      <c r="C1567" s="12">
        <v>991</v>
      </c>
      <c r="D1567" s="12">
        <v>10</v>
      </c>
    </row>
    <row r="1568" spans="1:4" ht="28.8" x14ac:dyDescent="0.3">
      <c r="A1568" s="12" t="s">
        <v>66</v>
      </c>
      <c r="B1568" s="12" t="s">
        <v>1644</v>
      </c>
      <c r="C1568" s="12">
        <v>841</v>
      </c>
      <c r="D1568" s="12">
        <v>8</v>
      </c>
    </row>
    <row r="1569" spans="1:4" ht="28.8" x14ac:dyDescent="0.3">
      <c r="A1569" s="12" t="s">
        <v>66</v>
      </c>
      <c r="B1569" s="12" t="s">
        <v>1645</v>
      </c>
      <c r="C1569" s="12">
        <v>871</v>
      </c>
      <c r="D1569" s="12">
        <v>9</v>
      </c>
    </row>
    <row r="1570" spans="1:4" ht="28.8" x14ac:dyDescent="0.3">
      <c r="A1570" s="12" t="s">
        <v>66</v>
      </c>
      <c r="B1570" s="12" t="s">
        <v>1646</v>
      </c>
      <c r="C1570" s="12">
        <v>933</v>
      </c>
      <c r="D1570" s="12">
        <v>9</v>
      </c>
    </row>
    <row r="1571" spans="1:4" ht="28.8" x14ac:dyDescent="0.3">
      <c r="A1571" s="12" t="s">
        <v>66</v>
      </c>
      <c r="B1571" s="12" t="s">
        <v>1647</v>
      </c>
      <c r="C1571" s="12">
        <v>620</v>
      </c>
      <c r="D1571" s="12">
        <v>6</v>
      </c>
    </row>
    <row r="1572" spans="1:4" ht="28.8" x14ac:dyDescent="0.3">
      <c r="A1572" s="12" t="s">
        <v>66</v>
      </c>
      <c r="B1572" s="12" t="s">
        <v>1648</v>
      </c>
      <c r="C1572" s="12">
        <v>1205</v>
      </c>
      <c r="D1572" s="12">
        <v>12</v>
      </c>
    </row>
    <row r="1573" spans="1:4" ht="28.8" x14ac:dyDescent="0.3">
      <c r="A1573" s="12" t="s">
        <v>66</v>
      </c>
      <c r="B1573" s="12" t="s">
        <v>1649</v>
      </c>
      <c r="C1573" s="12">
        <v>1108</v>
      </c>
      <c r="D1573" s="12">
        <v>11</v>
      </c>
    </row>
    <row r="1574" spans="1:4" ht="28.8" x14ac:dyDescent="0.3">
      <c r="A1574" s="12" t="s">
        <v>66</v>
      </c>
      <c r="B1574" s="12" t="s">
        <v>1650</v>
      </c>
      <c r="C1574" s="12">
        <v>1061</v>
      </c>
      <c r="D1574" s="12">
        <v>11</v>
      </c>
    </row>
    <row r="1575" spans="1:4" ht="28.8" x14ac:dyDescent="0.3">
      <c r="A1575" s="12" t="s">
        <v>66</v>
      </c>
      <c r="B1575" s="12" t="s">
        <v>1651</v>
      </c>
      <c r="C1575" s="12">
        <v>1107</v>
      </c>
      <c r="D1575" s="12">
        <v>11</v>
      </c>
    </row>
    <row r="1576" spans="1:4" ht="28.8" x14ac:dyDescent="0.3">
      <c r="A1576" s="12" t="s">
        <v>66</v>
      </c>
      <c r="B1576" s="12" t="s">
        <v>1652</v>
      </c>
      <c r="C1576" s="12">
        <v>475</v>
      </c>
      <c r="D1576" s="12">
        <v>5</v>
      </c>
    </row>
    <row r="1577" spans="1:4" ht="28.8" x14ac:dyDescent="0.3">
      <c r="A1577" s="12" t="s">
        <v>66</v>
      </c>
      <c r="B1577" s="12" t="s">
        <v>1653</v>
      </c>
      <c r="C1577" s="12">
        <v>634</v>
      </c>
      <c r="D1577" s="12">
        <v>6</v>
      </c>
    </row>
    <row r="1578" spans="1:4" ht="28.8" x14ac:dyDescent="0.3">
      <c r="A1578" s="12" t="s">
        <v>66</v>
      </c>
      <c r="B1578" s="12" t="s">
        <v>1654</v>
      </c>
      <c r="C1578" s="12">
        <v>748</v>
      </c>
      <c r="D1578" s="12">
        <v>7</v>
      </c>
    </row>
    <row r="1579" spans="1:4" ht="28.8" x14ac:dyDescent="0.3">
      <c r="A1579" s="12" t="s">
        <v>66</v>
      </c>
      <c r="B1579" s="12" t="s">
        <v>1655</v>
      </c>
      <c r="C1579" s="12">
        <v>635</v>
      </c>
      <c r="D1579" s="12">
        <v>6</v>
      </c>
    </row>
    <row r="1580" spans="1:4" ht="28.8" x14ac:dyDescent="0.3">
      <c r="A1580" s="12" t="s">
        <v>66</v>
      </c>
      <c r="B1580" s="12" t="s">
        <v>1656</v>
      </c>
      <c r="C1580" s="12">
        <v>834</v>
      </c>
      <c r="D1580" s="12">
        <v>8</v>
      </c>
    </row>
    <row r="1581" spans="1:4" ht="28.8" x14ac:dyDescent="0.3">
      <c r="A1581" s="12" t="s">
        <v>66</v>
      </c>
      <c r="B1581" s="12" t="s">
        <v>1657</v>
      </c>
      <c r="C1581" s="12">
        <v>1486</v>
      </c>
      <c r="D1581" s="12">
        <v>15</v>
      </c>
    </row>
    <row r="1582" spans="1:4" ht="28.8" x14ac:dyDescent="0.3">
      <c r="A1582" s="12" t="s">
        <v>66</v>
      </c>
      <c r="B1582" s="12" t="s">
        <v>1658</v>
      </c>
      <c r="C1582" s="12">
        <v>877</v>
      </c>
      <c r="D1582" s="12">
        <v>9</v>
      </c>
    </row>
    <row r="1583" spans="1:4" ht="28.8" x14ac:dyDescent="0.3">
      <c r="A1583" s="12" t="s">
        <v>66</v>
      </c>
      <c r="B1583" s="12" t="s">
        <v>1659</v>
      </c>
      <c r="C1583" s="12">
        <v>593</v>
      </c>
      <c r="D1583" s="12">
        <v>6</v>
      </c>
    </row>
    <row r="1584" spans="1:4" ht="28.8" x14ac:dyDescent="0.3">
      <c r="A1584" s="12" t="s">
        <v>66</v>
      </c>
      <c r="B1584" s="12" t="s">
        <v>1660</v>
      </c>
      <c r="C1584" s="12">
        <v>666</v>
      </c>
      <c r="D1584" s="12">
        <v>7</v>
      </c>
    </row>
    <row r="1585" spans="1:4" ht="28.8" x14ac:dyDescent="0.3">
      <c r="A1585" s="12" t="s">
        <v>66</v>
      </c>
      <c r="B1585" s="12" t="s">
        <v>1661</v>
      </c>
      <c r="C1585" s="12">
        <v>712</v>
      </c>
      <c r="D1585" s="12">
        <v>7</v>
      </c>
    </row>
    <row r="1586" spans="1:4" ht="28.8" x14ac:dyDescent="0.3">
      <c r="A1586" s="12" t="s">
        <v>66</v>
      </c>
      <c r="B1586" s="12" t="s">
        <v>1662</v>
      </c>
      <c r="C1586" s="12">
        <v>1020</v>
      </c>
      <c r="D1586" s="12">
        <v>10</v>
      </c>
    </row>
    <row r="1587" spans="1:4" ht="28.8" x14ac:dyDescent="0.3">
      <c r="A1587" s="12" t="s">
        <v>66</v>
      </c>
      <c r="B1587" s="12" t="s">
        <v>1663</v>
      </c>
      <c r="C1587" s="12">
        <v>1168</v>
      </c>
      <c r="D1587" s="12">
        <v>12</v>
      </c>
    </row>
    <row r="1588" spans="1:4" ht="28.8" x14ac:dyDescent="0.3">
      <c r="A1588" s="12" t="s">
        <v>66</v>
      </c>
      <c r="B1588" s="12" t="s">
        <v>1664</v>
      </c>
      <c r="C1588" s="12">
        <v>1198</v>
      </c>
      <c r="D1588" s="12">
        <v>12</v>
      </c>
    </row>
    <row r="1589" spans="1:4" ht="28.8" x14ac:dyDescent="0.3">
      <c r="A1589" s="12" t="s">
        <v>66</v>
      </c>
      <c r="B1589" s="12" t="s">
        <v>1665</v>
      </c>
      <c r="C1589" s="12">
        <v>1334</v>
      </c>
      <c r="D1589" s="12">
        <v>13</v>
      </c>
    </row>
    <row r="1590" spans="1:4" ht="28.8" x14ac:dyDescent="0.3">
      <c r="A1590" s="12" t="s">
        <v>66</v>
      </c>
      <c r="B1590" s="12" t="s">
        <v>1666</v>
      </c>
      <c r="C1590" s="12">
        <v>925</v>
      </c>
      <c r="D1590" s="12">
        <v>9</v>
      </c>
    </row>
    <row r="1591" spans="1:4" ht="28.8" x14ac:dyDescent="0.3">
      <c r="A1591" s="12" t="s">
        <v>66</v>
      </c>
      <c r="B1591" s="12" t="s">
        <v>1667</v>
      </c>
      <c r="C1591" s="12">
        <v>845</v>
      </c>
      <c r="D1591" s="12">
        <v>8</v>
      </c>
    </row>
    <row r="1592" spans="1:4" ht="28.8" x14ac:dyDescent="0.3">
      <c r="A1592" s="12" t="s">
        <v>66</v>
      </c>
      <c r="B1592" s="12" t="s">
        <v>1668</v>
      </c>
      <c r="C1592" s="12">
        <v>1429</v>
      </c>
      <c r="D1592" s="12">
        <v>14</v>
      </c>
    </row>
    <row r="1593" spans="1:4" ht="28.8" x14ac:dyDescent="0.3">
      <c r="A1593" s="12" t="s">
        <v>66</v>
      </c>
      <c r="B1593" s="12" t="s">
        <v>1669</v>
      </c>
      <c r="C1593" s="12">
        <v>2169</v>
      </c>
      <c r="D1593" s="12">
        <v>22</v>
      </c>
    </row>
    <row r="1594" spans="1:4" ht="28.8" x14ac:dyDescent="0.3">
      <c r="A1594" s="12" t="s">
        <v>66</v>
      </c>
      <c r="B1594" s="12" t="s">
        <v>1670</v>
      </c>
      <c r="C1594" s="12">
        <v>1736</v>
      </c>
      <c r="D1594" s="12">
        <v>17</v>
      </c>
    </row>
    <row r="1595" spans="1:4" ht="28.8" x14ac:dyDescent="0.3">
      <c r="A1595" s="12" t="s">
        <v>66</v>
      </c>
      <c r="B1595" s="12" t="s">
        <v>1671</v>
      </c>
      <c r="C1595" s="12">
        <v>1600</v>
      </c>
      <c r="D1595" s="12">
        <v>16</v>
      </c>
    </row>
    <row r="1596" spans="1:4" ht="28.8" x14ac:dyDescent="0.3">
      <c r="A1596" s="12" t="s">
        <v>66</v>
      </c>
      <c r="B1596" s="12" t="s">
        <v>1672</v>
      </c>
      <c r="C1596" s="12">
        <v>1158</v>
      </c>
      <c r="D1596" s="12">
        <v>12</v>
      </c>
    </row>
    <row r="1597" spans="1:4" ht="28.8" x14ac:dyDescent="0.3">
      <c r="A1597" s="12" t="s">
        <v>66</v>
      </c>
      <c r="B1597" s="12" t="s">
        <v>1673</v>
      </c>
      <c r="C1597" s="12">
        <v>1140</v>
      </c>
      <c r="D1597" s="12">
        <v>11</v>
      </c>
    </row>
    <row r="1598" spans="1:4" ht="28.8" x14ac:dyDescent="0.3">
      <c r="A1598" s="12" t="s">
        <v>66</v>
      </c>
      <c r="B1598" s="12" t="s">
        <v>1674</v>
      </c>
      <c r="C1598" s="12">
        <v>736</v>
      </c>
      <c r="D1598" s="12">
        <v>7</v>
      </c>
    </row>
    <row r="1599" spans="1:4" ht="28.8" x14ac:dyDescent="0.3">
      <c r="A1599" s="12" t="s">
        <v>66</v>
      </c>
      <c r="B1599" s="12" t="s">
        <v>1675</v>
      </c>
      <c r="C1599" s="12">
        <v>1152</v>
      </c>
      <c r="D1599" s="12">
        <v>12</v>
      </c>
    </row>
    <row r="1600" spans="1:4" ht="28.8" x14ac:dyDescent="0.3">
      <c r="A1600" s="12" t="s">
        <v>66</v>
      </c>
      <c r="B1600" s="12" t="s">
        <v>1676</v>
      </c>
      <c r="C1600" s="12">
        <v>1075</v>
      </c>
      <c r="D1600" s="12">
        <v>11</v>
      </c>
    </row>
    <row r="1601" spans="1:4" ht="28.8" x14ac:dyDescent="0.3">
      <c r="A1601" s="12" t="s">
        <v>66</v>
      </c>
      <c r="B1601" s="12" t="s">
        <v>1677</v>
      </c>
      <c r="C1601" s="12">
        <v>2770</v>
      </c>
      <c r="D1601" s="12">
        <v>28</v>
      </c>
    </row>
    <row r="1602" spans="1:4" ht="28.8" x14ac:dyDescent="0.3">
      <c r="A1602" s="12" t="s">
        <v>66</v>
      </c>
      <c r="B1602" s="12" t="s">
        <v>1678</v>
      </c>
      <c r="C1602" s="12">
        <v>636</v>
      </c>
      <c r="D1602" s="12">
        <v>6</v>
      </c>
    </row>
    <row r="1603" spans="1:4" ht="28.8" x14ac:dyDescent="0.3">
      <c r="A1603" s="12" t="s">
        <v>66</v>
      </c>
      <c r="B1603" s="12" t="s">
        <v>1679</v>
      </c>
      <c r="C1603" s="12">
        <v>1595</v>
      </c>
      <c r="D1603" s="12">
        <v>16</v>
      </c>
    </row>
    <row r="1604" spans="1:4" ht="28.8" x14ac:dyDescent="0.3">
      <c r="A1604" s="12" t="s">
        <v>66</v>
      </c>
      <c r="B1604" s="12" t="s">
        <v>1680</v>
      </c>
      <c r="C1604" s="12">
        <v>1126</v>
      </c>
      <c r="D1604" s="12">
        <v>11</v>
      </c>
    </row>
    <row r="1605" spans="1:4" ht="28.8" x14ac:dyDescent="0.3">
      <c r="A1605" s="12" t="s">
        <v>66</v>
      </c>
      <c r="B1605" s="12" t="s">
        <v>1681</v>
      </c>
      <c r="C1605" s="12">
        <v>637</v>
      </c>
      <c r="D1605" s="12">
        <v>6</v>
      </c>
    </row>
    <row r="1606" spans="1:4" ht="28.8" x14ac:dyDescent="0.3">
      <c r="A1606" s="12" t="s">
        <v>66</v>
      </c>
      <c r="B1606" s="12" t="s">
        <v>1682</v>
      </c>
      <c r="C1606" s="12">
        <v>871</v>
      </c>
      <c r="D1606" s="12">
        <v>9</v>
      </c>
    </row>
    <row r="1607" spans="1:4" ht="28.8" x14ac:dyDescent="0.3">
      <c r="A1607" s="12" t="s">
        <v>66</v>
      </c>
      <c r="B1607" s="12" t="s">
        <v>1683</v>
      </c>
      <c r="C1607" s="12">
        <v>975</v>
      </c>
      <c r="D1607" s="12">
        <v>10</v>
      </c>
    </row>
    <row r="1608" spans="1:4" ht="28.8" x14ac:dyDescent="0.3">
      <c r="A1608" s="12" t="s">
        <v>66</v>
      </c>
      <c r="B1608" s="12" t="s">
        <v>1684</v>
      </c>
      <c r="C1608" s="12">
        <v>860</v>
      </c>
      <c r="D1608" s="12">
        <v>9</v>
      </c>
    </row>
    <row r="1609" spans="1:4" ht="28.8" x14ac:dyDescent="0.3">
      <c r="A1609" s="12" t="s">
        <v>66</v>
      </c>
      <c r="B1609" s="12" t="s">
        <v>1685</v>
      </c>
      <c r="C1609" s="12">
        <v>772</v>
      </c>
      <c r="D1609" s="12">
        <v>8</v>
      </c>
    </row>
    <row r="1610" spans="1:4" ht="28.8" x14ac:dyDescent="0.3">
      <c r="A1610" s="12" t="s">
        <v>66</v>
      </c>
      <c r="B1610" s="12" t="s">
        <v>1686</v>
      </c>
      <c r="C1610" s="12">
        <v>1285</v>
      </c>
      <c r="D1610" s="12">
        <v>13</v>
      </c>
    </row>
    <row r="1611" spans="1:4" ht="28.8" x14ac:dyDescent="0.3">
      <c r="A1611" s="12" t="s">
        <v>66</v>
      </c>
      <c r="B1611" s="12" t="s">
        <v>1687</v>
      </c>
      <c r="C1611" s="12">
        <v>1089</v>
      </c>
      <c r="D1611" s="12">
        <v>11</v>
      </c>
    </row>
    <row r="1612" spans="1:4" ht="28.8" x14ac:dyDescent="0.3">
      <c r="A1612" s="12" t="s">
        <v>66</v>
      </c>
      <c r="B1612" s="12" t="s">
        <v>1688</v>
      </c>
      <c r="C1612" s="12">
        <v>1119</v>
      </c>
      <c r="D1612" s="12">
        <v>11</v>
      </c>
    </row>
    <row r="1613" spans="1:4" ht="28.8" x14ac:dyDescent="0.3">
      <c r="A1613" s="12" t="s">
        <v>66</v>
      </c>
      <c r="B1613" s="12" t="s">
        <v>1689</v>
      </c>
      <c r="C1613" s="12">
        <v>900</v>
      </c>
      <c r="D1613" s="12">
        <v>9</v>
      </c>
    </row>
    <row r="1614" spans="1:4" ht="28.8" x14ac:dyDescent="0.3">
      <c r="A1614" s="12" t="s">
        <v>66</v>
      </c>
      <c r="B1614" s="12" t="s">
        <v>1690</v>
      </c>
      <c r="C1614" s="12">
        <v>2037</v>
      </c>
      <c r="D1614" s="12">
        <v>20</v>
      </c>
    </row>
    <row r="1615" spans="1:4" ht="28.8" x14ac:dyDescent="0.3">
      <c r="A1615" s="12" t="s">
        <v>66</v>
      </c>
      <c r="B1615" s="12" t="s">
        <v>1691</v>
      </c>
      <c r="C1615" s="12">
        <v>1281</v>
      </c>
      <c r="D1615" s="12">
        <v>13</v>
      </c>
    </row>
    <row r="1616" spans="1:4" ht="28.8" x14ac:dyDescent="0.3">
      <c r="A1616" s="12" t="s">
        <v>66</v>
      </c>
      <c r="B1616" s="12" t="s">
        <v>1692</v>
      </c>
      <c r="C1616" s="12">
        <v>1773</v>
      </c>
      <c r="D1616" s="12">
        <v>18</v>
      </c>
    </row>
    <row r="1617" spans="1:4" ht="28.8" x14ac:dyDescent="0.3">
      <c r="A1617" s="12" t="s">
        <v>66</v>
      </c>
      <c r="B1617" s="12" t="s">
        <v>1693</v>
      </c>
      <c r="C1617" s="12">
        <v>2148</v>
      </c>
      <c r="D1617" s="12">
        <v>21</v>
      </c>
    </row>
    <row r="1618" spans="1:4" ht="28.8" x14ac:dyDescent="0.3">
      <c r="A1618" s="12" t="s">
        <v>66</v>
      </c>
      <c r="B1618" s="12" t="s">
        <v>1694</v>
      </c>
      <c r="C1618" s="12">
        <v>718</v>
      </c>
      <c r="D1618" s="12">
        <v>7</v>
      </c>
    </row>
    <row r="1619" spans="1:4" ht="28.8" x14ac:dyDescent="0.3">
      <c r="A1619" s="12" t="s">
        <v>66</v>
      </c>
      <c r="B1619" s="12" t="s">
        <v>1695</v>
      </c>
      <c r="C1619" s="12">
        <v>2065</v>
      </c>
      <c r="D1619" s="12">
        <v>21</v>
      </c>
    </row>
    <row r="1620" spans="1:4" ht="28.8" x14ac:dyDescent="0.3">
      <c r="A1620" s="12" t="s">
        <v>66</v>
      </c>
      <c r="B1620" s="12" t="s">
        <v>1696</v>
      </c>
      <c r="C1620" s="12">
        <v>1180</v>
      </c>
      <c r="D1620" s="12">
        <v>12</v>
      </c>
    </row>
    <row r="1621" spans="1:4" ht="28.8" x14ac:dyDescent="0.3">
      <c r="A1621" s="12" t="s">
        <v>66</v>
      </c>
      <c r="B1621" s="12" t="s">
        <v>1697</v>
      </c>
      <c r="C1621" s="12">
        <v>1431</v>
      </c>
      <c r="D1621" s="12">
        <v>14</v>
      </c>
    </row>
    <row r="1622" spans="1:4" ht="28.8" x14ac:dyDescent="0.3">
      <c r="A1622" s="12" t="s">
        <v>66</v>
      </c>
      <c r="B1622" s="12" t="s">
        <v>1698</v>
      </c>
      <c r="C1622" s="12">
        <v>547</v>
      </c>
      <c r="D1622" s="12">
        <v>5</v>
      </c>
    </row>
    <row r="1623" spans="1:4" ht="28.8" x14ac:dyDescent="0.3">
      <c r="A1623" s="12" t="s">
        <v>66</v>
      </c>
      <c r="B1623" s="12" t="s">
        <v>1699</v>
      </c>
      <c r="C1623" s="12">
        <v>1153</v>
      </c>
      <c r="D1623" s="12">
        <v>12</v>
      </c>
    </row>
    <row r="1624" spans="1:4" ht="28.8" x14ac:dyDescent="0.3">
      <c r="A1624" s="12" t="s">
        <v>66</v>
      </c>
      <c r="B1624" s="12" t="s">
        <v>1700</v>
      </c>
      <c r="C1624" s="12">
        <v>756</v>
      </c>
      <c r="D1624" s="12">
        <v>8</v>
      </c>
    </row>
    <row r="1625" spans="1:4" ht="28.8" x14ac:dyDescent="0.3">
      <c r="A1625" s="12" t="s">
        <v>66</v>
      </c>
      <c r="B1625" s="12" t="s">
        <v>1701</v>
      </c>
      <c r="C1625" s="12">
        <v>1213</v>
      </c>
      <c r="D1625" s="12">
        <v>12</v>
      </c>
    </row>
    <row r="1626" spans="1:4" ht="28.8" x14ac:dyDescent="0.3">
      <c r="A1626" s="12" t="s">
        <v>66</v>
      </c>
      <c r="B1626" s="12" t="s">
        <v>1702</v>
      </c>
      <c r="C1626" s="12">
        <v>1103</v>
      </c>
      <c r="D1626" s="12">
        <v>11</v>
      </c>
    </row>
    <row r="1627" spans="1:4" ht="28.8" x14ac:dyDescent="0.3">
      <c r="A1627" s="12" t="s">
        <v>66</v>
      </c>
      <c r="B1627" s="12" t="s">
        <v>1703</v>
      </c>
      <c r="C1627" s="12">
        <v>763</v>
      </c>
      <c r="D1627" s="12">
        <v>8</v>
      </c>
    </row>
    <row r="1628" spans="1:4" ht="28.8" x14ac:dyDescent="0.3">
      <c r="A1628" s="12" t="s">
        <v>66</v>
      </c>
      <c r="B1628" s="12" t="s">
        <v>1704</v>
      </c>
      <c r="C1628" s="12">
        <v>834</v>
      </c>
      <c r="D1628" s="12">
        <v>8</v>
      </c>
    </row>
    <row r="1629" spans="1:4" ht="28.8" x14ac:dyDescent="0.3">
      <c r="A1629" s="12" t="s">
        <v>66</v>
      </c>
      <c r="B1629" s="12" t="s">
        <v>1705</v>
      </c>
      <c r="C1629" s="12">
        <v>1053</v>
      </c>
      <c r="D1629" s="12">
        <v>11</v>
      </c>
    </row>
    <row r="1630" spans="1:4" ht="28.8" x14ac:dyDescent="0.3">
      <c r="A1630" s="12" t="s">
        <v>66</v>
      </c>
      <c r="B1630" s="12" t="s">
        <v>1706</v>
      </c>
      <c r="C1630" s="12">
        <v>1083</v>
      </c>
      <c r="D1630" s="12">
        <v>11</v>
      </c>
    </row>
    <row r="1631" spans="1:4" ht="28.8" x14ac:dyDescent="0.3">
      <c r="A1631" s="12" t="s">
        <v>66</v>
      </c>
      <c r="B1631" s="12" t="s">
        <v>1707</v>
      </c>
      <c r="C1631" s="12">
        <v>668</v>
      </c>
      <c r="D1631" s="12">
        <v>7</v>
      </c>
    </row>
    <row r="1632" spans="1:4" ht="28.8" x14ac:dyDescent="0.3">
      <c r="A1632" s="12" t="s">
        <v>66</v>
      </c>
      <c r="B1632" s="12" t="s">
        <v>1708</v>
      </c>
      <c r="C1632" s="12">
        <v>1200</v>
      </c>
      <c r="D1632" s="12">
        <v>12</v>
      </c>
    </row>
    <row r="1633" spans="1:4" ht="28.8" x14ac:dyDescent="0.3">
      <c r="A1633" s="12" t="s">
        <v>66</v>
      </c>
      <c r="B1633" s="12" t="s">
        <v>1709</v>
      </c>
      <c r="C1633" s="12">
        <v>1323</v>
      </c>
      <c r="D1633" s="12">
        <v>13</v>
      </c>
    </row>
    <row r="1634" spans="1:4" ht="28.8" x14ac:dyDescent="0.3">
      <c r="A1634" s="12" t="s">
        <v>66</v>
      </c>
      <c r="B1634" s="12" t="s">
        <v>1710</v>
      </c>
      <c r="C1634" s="12">
        <v>2342</v>
      </c>
      <c r="D1634" s="12">
        <v>23</v>
      </c>
    </row>
    <row r="1635" spans="1:4" ht="28.8" x14ac:dyDescent="0.3">
      <c r="A1635" s="12" t="s">
        <v>66</v>
      </c>
      <c r="B1635" s="12" t="s">
        <v>1711</v>
      </c>
      <c r="C1635" s="12">
        <v>1345</v>
      </c>
      <c r="D1635" s="12">
        <v>13</v>
      </c>
    </row>
    <row r="1636" spans="1:4" ht="28.8" x14ac:dyDescent="0.3">
      <c r="A1636" s="12" t="s">
        <v>66</v>
      </c>
      <c r="B1636" s="12" t="s">
        <v>1712</v>
      </c>
      <c r="C1636" s="12">
        <v>1418</v>
      </c>
      <c r="D1636" s="12">
        <v>14</v>
      </c>
    </row>
    <row r="1637" spans="1:4" ht="28.8" x14ac:dyDescent="0.3">
      <c r="A1637" s="12" t="s">
        <v>66</v>
      </c>
      <c r="B1637" s="12" t="s">
        <v>1713</v>
      </c>
      <c r="C1637" s="12">
        <v>655</v>
      </c>
      <c r="D1637" s="12">
        <v>7</v>
      </c>
    </row>
    <row r="1638" spans="1:4" ht="28.8" x14ac:dyDescent="0.3">
      <c r="A1638" s="12" t="s">
        <v>66</v>
      </c>
      <c r="B1638" s="12" t="s">
        <v>1714</v>
      </c>
      <c r="C1638" s="12">
        <v>1677</v>
      </c>
      <c r="D1638" s="12">
        <v>17</v>
      </c>
    </row>
    <row r="1639" spans="1:4" ht="28.8" x14ac:dyDescent="0.3">
      <c r="A1639" s="12" t="s">
        <v>66</v>
      </c>
      <c r="B1639" s="12" t="s">
        <v>1715</v>
      </c>
      <c r="C1639" s="12">
        <v>1737</v>
      </c>
      <c r="D1639" s="12">
        <v>17</v>
      </c>
    </row>
    <row r="1640" spans="1:4" ht="28.8" x14ac:dyDescent="0.3">
      <c r="A1640" s="12" t="s">
        <v>66</v>
      </c>
      <c r="B1640" s="12" t="s">
        <v>1716</v>
      </c>
      <c r="C1640" s="12">
        <v>1409</v>
      </c>
      <c r="D1640" s="12">
        <v>14</v>
      </c>
    </row>
    <row r="1641" spans="1:4" ht="28.8" x14ac:dyDescent="0.3">
      <c r="A1641" s="12" t="s">
        <v>66</v>
      </c>
      <c r="B1641" s="12" t="s">
        <v>1717</v>
      </c>
      <c r="C1641" s="12">
        <v>572</v>
      </c>
      <c r="D1641" s="12">
        <v>6</v>
      </c>
    </row>
    <row r="1642" spans="1:4" ht="28.8" x14ac:dyDescent="0.3">
      <c r="A1642" s="12" t="s">
        <v>66</v>
      </c>
      <c r="B1642" s="12" t="s">
        <v>1718</v>
      </c>
      <c r="C1642" s="12">
        <v>762</v>
      </c>
      <c r="D1642" s="12">
        <v>8</v>
      </c>
    </row>
    <row r="1643" spans="1:4" ht="28.8" x14ac:dyDescent="0.3">
      <c r="A1643" s="12" t="s">
        <v>66</v>
      </c>
      <c r="B1643" s="12" t="s">
        <v>1719</v>
      </c>
      <c r="C1643" s="12">
        <v>690</v>
      </c>
      <c r="D1643" s="12">
        <v>7</v>
      </c>
    </row>
    <row r="1644" spans="1:4" ht="28.8" x14ac:dyDescent="0.3">
      <c r="A1644" s="12" t="s">
        <v>66</v>
      </c>
      <c r="B1644" s="12" t="s">
        <v>1720</v>
      </c>
      <c r="C1644" s="12">
        <v>892</v>
      </c>
      <c r="D1644" s="12">
        <v>9</v>
      </c>
    </row>
    <row r="1645" spans="1:4" ht="28.8" x14ac:dyDescent="0.3">
      <c r="A1645" s="12" t="s">
        <v>66</v>
      </c>
      <c r="B1645" s="12" t="s">
        <v>1721</v>
      </c>
      <c r="C1645" s="12">
        <v>1633</v>
      </c>
      <c r="D1645" s="12">
        <v>16</v>
      </c>
    </row>
    <row r="1646" spans="1:4" ht="28.8" x14ac:dyDescent="0.3">
      <c r="A1646" s="12" t="s">
        <v>66</v>
      </c>
      <c r="B1646" s="12" t="s">
        <v>1722</v>
      </c>
      <c r="C1646" s="12">
        <v>2502</v>
      </c>
      <c r="D1646" s="12">
        <v>25</v>
      </c>
    </row>
    <row r="1647" spans="1:4" ht="28.8" x14ac:dyDescent="0.3">
      <c r="A1647" s="12" t="s">
        <v>66</v>
      </c>
      <c r="B1647" s="12" t="s">
        <v>1723</v>
      </c>
      <c r="C1647" s="12">
        <v>3747</v>
      </c>
      <c r="D1647" s="12">
        <v>37</v>
      </c>
    </row>
    <row r="1648" spans="1:4" ht="28.8" x14ac:dyDescent="0.3">
      <c r="A1648" s="12" t="s">
        <v>66</v>
      </c>
      <c r="B1648" s="12" t="s">
        <v>1724</v>
      </c>
      <c r="C1648" s="12">
        <v>720</v>
      </c>
      <c r="D1648" s="12">
        <v>7</v>
      </c>
    </row>
    <row r="1649" spans="1:4" ht="28.8" x14ac:dyDescent="0.3">
      <c r="A1649" s="12" t="s">
        <v>66</v>
      </c>
      <c r="B1649" s="12" t="s">
        <v>1725</v>
      </c>
      <c r="C1649" s="12">
        <v>1805</v>
      </c>
      <c r="D1649" s="12">
        <v>18</v>
      </c>
    </row>
    <row r="1650" spans="1:4" ht="28.8" x14ac:dyDescent="0.3">
      <c r="A1650" s="12" t="s">
        <v>66</v>
      </c>
      <c r="B1650" s="12" t="s">
        <v>1726</v>
      </c>
      <c r="C1650" s="12">
        <v>1654</v>
      </c>
      <c r="D1650" s="12">
        <v>17</v>
      </c>
    </row>
    <row r="1651" spans="1:4" ht="28.8" x14ac:dyDescent="0.3">
      <c r="A1651" s="12" t="s">
        <v>66</v>
      </c>
      <c r="B1651" s="12" t="s">
        <v>1727</v>
      </c>
      <c r="C1651" s="12">
        <v>1229</v>
      </c>
      <c r="D1651" s="12">
        <v>12</v>
      </c>
    </row>
    <row r="1652" spans="1:4" ht="28.8" x14ac:dyDescent="0.3">
      <c r="A1652" s="12" t="s">
        <v>66</v>
      </c>
      <c r="B1652" s="12" t="s">
        <v>1728</v>
      </c>
      <c r="C1652" s="12">
        <v>1942</v>
      </c>
      <c r="D1652" s="12">
        <v>19</v>
      </c>
    </row>
    <row r="1653" spans="1:4" ht="28.8" x14ac:dyDescent="0.3">
      <c r="A1653" s="12" t="s">
        <v>66</v>
      </c>
      <c r="B1653" s="12" t="s">
        <v>1729</v>
      </c>
      <c r="C1653" s="12">
        <v>2411</v>
      </c>
      <c r="D1653" s="12">
        <v>24</v>
      </c>
    </row>
    <row r="1654" spans="1:4" ht="28.8" x14ac:dyDescent="0.3">
      <c r="A1654" s="12" t="s">
        <v>66</v>
      </c>
      <c r="B1654" s="12" t="s">
        <v>1730</v>
      </c>
      <c r="C1654" s="12">
        <v>2017</v>
      </c>
      <c r="D1654" s="12">
        <v>20</v>
      </c>
    </row>
    <row r="1655" spans="1:4" ht="28.8" x14ac:dyDescent="0.3">
      <c r="A1655" s="12" t="s">
        <v>66</v>
      </c>
      <c r="B1655" s="12" t="s">
        <v>1731</v>
      </c>
      <c r="C1655" s="12">
        <v>2021</v>
      </c>
      <c r="D1655" s="12">
        <v>20</v>
      </c>
    </row>
    <row r="1656" spans="1:4" ht="28.8" x14ac:dyDescent="0.3">
      <c r="A1656" s="12" t="s">
        <v>66</v>
      </c>
      <c r="B1656" s="12" t="s">
        <v>1732</v>
      </c>
      <c r="C1656" s="12">
        <v>1297</v>
      </c>
      <c r="D1656" s="12">
        <v>13</v>
      </c>
    </row>
    <row r="1657" spans="1:4" ht="28.8" x14ac:dyDescent="0.3">
      <c r="A1657" s="12" t="s">
        <v>66</v>
      </c>
      <c r="B1657" s="12" t="s">
        <v>1733</v>
      </c>
      <c r="C1657" s="12">
        <v>4320</v>
      </c>
      <c r="D1657" s="12">
        <v>43</v>
      </c>
    </row>
    <row r="1658" spans="1:4" ht="28.8" x14ac:dyDescent="0.3">
      <c r="A1658" s="12" t="s">
        <v>66</v>
      </c>
      <c r="B1658" s="12" t="s">
        <v>1734</v>
      </c>
      <c r="C1658" s="12">
        <v>2240</v>
      </c>
      <c r="D1658" s="12">
        <v>22</v>
      </c>
    </row>
    <row r="1659" spans="1:4" ht="28.8" x14ac:dyDescent="0.3">
      <c r="A1659" s="12" t="s">
        <v>66</v>
      </c>
      <c r="B1659" s="12" t="s">
        <v>1735</v>
      </c>
      <c r="C1659" s="12">
        <v>1767</v>
      </c>
      <c r="D1659" s="12">
        <v>18</v>
      </c>
    </row>
    <row r="1660" spans="1:4" ht="28.8" x14ac:dyDescent="0.3">
      <c r="A1660" s="12" t="s">
        <v>66</v>
      </c>
      <c r="B1660" s="12" t="s">
        <v>1736</v>
      </c>
      <c r="C1660" s="12">
        <v>4039</v>
      </c>
      <c r="D1660" s="12">
        <v>40</v>
      </c>
    </row>
    <row r="1661" spans="1:4" ht="28.8" x14ac:dyDescent="0.3">
      <c r="A1661" s="12" t="s">
        <v>66</v>
      </c>
      <c r="B1661" s="12" t="s">
        <v>1737</v>
      </c>
      <c r="C1661" s="12">
        <v>2946</v>
      </c>
      <c r="D1661" s="12">
        <v>29</v>
      </c>
    </row>
    <row r="1662" spans="1:4" ht="28.8" x14ac:dyDescent="0.3">
      <c r="A1662" s="12" t="s">
        <v>66</v>
      </c>
      <c r="B1662" s="12" t="s">
        <v>1738</v>
      </c>
      <c r="C1662" s="12">
        <v>1551</v>
      </c>
      <c r="D1662" s="12">
        <v>16</v>
      </c>
    </row>
    <row r="1663" spans="1:4" ht="28.8" x14ac:dyDescent="0.3">
      <c r="A1663" s="12" t="s">
        <v>66</v>
      </c>
      <c r="B1663" s="12" t="s">
        <v>1739</v>
      </c>
      <c r="C1663" s="12">
        <v>2188</v>
      </c>
      <c r="D1663" s="12">
        <v>22</v>
      </c>
    </row>
    <row r="1664" spans="1:4" ht="28.8" x14ac:dyDescent="0.3">
      <c r="A1664" s="12" t="s">
        <v>66</v>
      </c>
      <c r="B1664" s="12" t="s">
        <v>1740</v>
      </c>
      <c r="C1664" s="12">
        <v>696</v>
      </c>
      <c r="D1664" s="12">
        <v>7</v>
      </c>
    </row>
    <row r="1665" spans="1:4" ht="28.8" x14ac:dyDescent="0.3">
      <c r="A1665" s="12" t="s">
        <v>66</v>
      </c>
      <c r="B1665" s="12" t="s">
        <v>1741</v>
      </c>
      <c r="C1665" s="12">
        <v>3082</v>
      </c>
      <c r="D1665" s="12">
        <v>31</v>
      </c>
    </row>
    <row r="1666" spans="1:4" ht="28.8" x14ac:dyDescent="0.3">
      <c r="A1666" s="12" t="s">
        <v>66</v>
      </c>
      <c r="B1666" s="12" t="s">
        <v>1742</v>
      </c>
      <c r="C1666" s="12">
        <v>2916</v>
      </c>
      <c r="D1666" s="12">
        <v>29</v>
      </c>
    </row>
    <row r="1667" spans="1:4" ht="28.8" x14ac:dyDescent="0.3">
      <c r="A1667" s="12" t="s">
        <v>66</v>
      </c>
      <c r="B1667" s="12" t="s">
        <v>1743</v>
      </c>
      <c r="C1667" s="12">
        <v>2793</v>
      </c>
      <c r="D1667" s="12">
        <v>28</v>
      </c>
    </row>
    <row r="1668" spans="1:4" ht="28.8" x14ac:dyDescent="0.3">
      <c r="A1668" s="12" t="s">
        <v>66</v>
      </c>
      <c r="B1668" s="12" t="s">
        <v>1744</v>
      </c>
      <c r="C1668" s="12">
        <v>2898</v>
      </c>
      <c r="D1668" s="12">
        <v>29</v>
      </c>
    </row>
    <row r="1669" spans="1:4" ht="28.8" x14ac:dyDescent="0.3">
      <c r="A1669" s="12" t="s">
        <v>66</v>
      </c>
      <c r="B1669" s="12" t="s">
        <v>1745</v>
      </c>
      <c r="C1669" s="12">
        <v>1576</v>
      </c>
      <c r="D1669" s="12">
        <v>16</v>
      </c>
    </row>
    <row r="1670" spans="1:4" ht="28.8" x14ac:dyDescent="0.3">
      <c r="A1670" s="12" t="s">
        <v>66</v>
      </c>
      <c r="B1670" s="12" t="s">
        <v>1746</v>
      </c>
      <c r="C1670" s="12">
        <v>2780</v>
      </c>
      <c r="D1670" s="12">
        <v>28</v>
      </c>
    </row>
    <row r="1671" spans="1:4" ht="28.8" x14ac:dyDescent="0.3">
      <c r="A1671" s="12" t="s">
        <v>66</v>
      </c>
      <c r="B1671" s="12" t="s">
        <v>1747</v>
      </c>
      <c r="C1671" s="12">
        <v>1691</v>
      </c>
      <c r="D1671" s="12">
        <v>17</v>
      </c>
    </row>
    <row r="1672" spans="1:4" ht="28.8" x14ac:dyDescent="0.3">
      <c r="A1672" s="12" t="s">
        <v>66</v>
      </c>
      <c r="B1672" s="12" t="s">
        <v>1748</v>
      </c>
      <c r="C1672" s="12">
        <v>1597</v>
      </c>
      <c r="D1672" s="12">
        <v>16</v>
      </c>
    </row>
    <row r="1673" spans="1:4" ht="28.8" x14ac:dyDescent="0.3">
      <c r="A1673" s="12" t="s">
        <v>66</v>
      </c>
      <c r="B1673" s="12" t="s">
        <v>1749</v>
      </c>
      <c r="C1673" s="12">
        <v>1575</v>
      </c>
      <c r="D1673" s="12">
        <v>16</v>
      </c>
    </row>
    <row r="1674" spans="1:4" ht="28.8" x14ac:dyDescent="0.3">
      <c r="A1674" s="12" t="s">
        <v>66</v>
      </c>
      <c r="B1674" s="12" t="s">
        <v>1750</v>
      </c>
      <c r="C1674" s="12">
        <v>3440</v>
      </c>
      <c r="D1674" s="12">
        <v>34</v>
      </c>
    </row>
    <row r="1675" spans="1:4" ht="28.8" x14ac:dyDescent="0.3">
      <c r="A1675" s="12" t="s">
        <v>66</v>
      </c>
      <c r="B1675" s="12" t="s">
        <v>1751</v>
      </c>
      <c r="C1675" s="12">
        <v>4829</v>
      </c>
      <c r="D1675" s="12">
        <v>48</v>
      </c>
    </row>
    <row r="1676" spans="1:4" ht="28.8" x14ac:dyDescent="0.3">
      <c r="A1676" s="12" t="s">
        <v>66</v>
      </c>
      <c r="B1676" s="12" t="s">
        <v>1752</v>
      </c>
      <c r="C1676" s="12">
        <v>5163</v>
      </c>
      <c r="D1676" s="12">
        <v>52</v>
      </c>
    </row>
    <row r="1677" spans="1:4" ht="28.8" x14ac:dyDescent="0.3">
      <c r="A1677" s="12" t="s">
        <v>66</v>
      </c>
      <c r="B1677" s="12" t="s">
        <v>1753</v>
      </c>
      <c r="C1677" s="12">
        <v>2592</v>
      </c>
      <c r="D1677" s="12">
        <v>26</v>
      </c>
    </row>
    <row r="1678" spans="1:4" ht="28.8" x14ac:dyDescent="0.3">
      <c r="A1678" s="12" t="s">
        <v>66</v>
      </c>
      <c r="B1678" s="12" t="s">
        <v>1754</v>
      </c>
      <c r="C1678" s="12">
        <v>1809</v>
      </c>
      <c r="D1678" s="12">
        <v>18</v>
      </c>
    </row>
    <row r="1679" spans="1:4" ht="28.8" x14ac:dyDescent="0.3">
      <c r="A1679" s="12" t="s">
        <v>66</v>
      </c>
      <c r="B1679" s="12" t="s">
        <v>1755</v>
      </c>
      <c r="C1679" s="12">
        <v>1174</v>
      </c>
      <c r="D1679" s="12">
        <v>12</v>
      </c>
    </row>
    <row r="1680" spans="1:4" ht="28.8" x14ac:dyDescent="0.3">
      <c r="A1680" s="12" t="s">
        <v>66</v>
      </c>
      <c r="B1680" s="12" t="s">
        <v>1756</v>
      </c>
      <c r="C1680" s="12">
        <v>1713</v>
      </c>
      <c r="D1680" s="12">
        <v>17</v>
      </c>
    </row>
    <row r="1681" spans="1:4" ht="28.8" x14ac:dyDescent="0.3">
      <c r="A1681" s="12" t="s">
        <v>66</v>
      </c>
      <c r="B1681" s="12" t="s">
        <v>1757</v>
      </c>
      <c r="C1681" s="12">
        <v>1025.0000010000001</v>
      </c>
      <c r="D1681" s="12">
        <v>10</v>
      </c>
    </row>
    <row r="1682" spans="1:4" ht="28.8" x14ac:dyDescent="0.3">
      <c r="A1682" s="12" t="s">
        <v>66</v>
      </c>
      <c r="B1682" s="12" t="s">
        <v>1758</v>
      </c>
      <c r="C1682" s="12">
        <v>763</v>
      </c>
      <c r="D1682" s="12">
        <v>8</v>
      </c>
    </row>
    <row r="1683" spans="1:4" ht="28.8" x14ac:dyDescent="0.3">
      <c r="A1683" s="12" t="s">
        <v>66</v>
      </c>
      <c r="B1683" s="12" t="s">
        <v>1759</v>
      </c>
      <c r="C1683" s="12">
        <v>674</v>
      </c>
      <c r="D1683" s="12">
        <v>7</v>
      </c>
    </row>
    <row r="1684" spans="1:4" ht="28.8" x14ac:dyDescent="0.3">
      <c r="A1684" s="12" t="s">
        <v>66</v>
      </c>
      <c r="B1684" s="12" t="s">
        <v>1760</v>
      </c>
      <c r="C1684" s="12">
        <v>907</v>
      </c>
      <c r="D1684" s="12">
        <v>9</v>
      </c>
    </row>
    <row r="1685" spans="1:4" ht="28.8" x14ac:dyDescent="0.3">
      <c r="A1685" s="12" t="s">
        <v>66</v>
      </c>
      <c r="B1685" s="12" t="s">
        <v>1761</v>
      </c>
      <c r="C1685" s="12">
        <v>1100</v>
      </c>
      <c r="D1685" s="12">
        <v>11</v>
      </c>
    </row>
    <row r="1686" spans="1:4" ht="28.8" x14ac:dyDescent="0.3">
      <c r="A1686" s="12" t="s">
        <v>66</v>
      </c>
      <c r="B1686" s="12" t="s">
        <v>1762</v>
      </c>
      <c r="C1686" s="12">
        <v>3488</v>
      </c>
      <c r="D1686" s="12">
        <v>35</v>
      </c>
    </row>
    <row r="1687" spans="1:4" ht="28.8" x14ac:dyDescent="0.3">
      <c r="A1687" s="12" t="s">
        <v>66</v>
      </c>
      <c r="B1687" s="12" t="s">
        <v>1763</v>
      </c>
      <c r="C1687" s="12">
        <v>3020</v>
      </c>
      <c r="D1687" s="12">
        <v>30</v>
      </c>
    </row>
    <row r="1688" spans="1:4" ht="28.8" x14ac:dyDescent="0.3">
      <c r="A1688" s="12" t="s">
        <v>66</v>
      </c>
      <c r="B1688" s="12" t="s">
        <v>1764</v>
      </c>
      <c r="C1688" s="12">
        <v>1015</v>
      </c>
      <c r="D1688" s="12">
        <v>10</v>
      </c>
    </row>
    <row r="1689" spans="1:4" ht="28.8" x14ac:dyDescent="0.3">
      <c r="A1689" s="12" t="s">
        <v>66</v>
      </c>
      <c r="B1689" s="12" t="s">
        <v>1765</v>
      </c>
      <c r="C1689" s="12">
        <v>695</v>
      </c>
      <c r="D1689" s="12">
        <v>7</v>
      </c>
    </row>
    <row r="1690" spans="1:4" ht="28.8" x14ac:dyDescent="0.3">
      <c r="A1690" s="12" t="s">
        <v>66</v>
      </c>
      <c r="B1690" s="12" t="s">
        <v>1766</v>
      </c>
      <c r="C1690" s="12">
        <v>1418</v>
      </c>
      <c r="D1690" s="12">
        <v>14</v>
      </c>
    </row>
    <row r="1691" spans="1:4" ht="28.8" x14ac:dyDescent="0.3">
      <c r="A1691" s="12" t="s">
        <v>66</v>
      </c>
      <c r="B1691" s="12" t="s">
        <v>1767</v>
      </c>
      <c r="C1691" s="12">
        <v>2170</v>
      </c>
      <c r="D1691" s="12">
        <v>22</v>
      </c>
    </row>
    <row r="1692" spans="1:4" ht="28.8" x14ac:dyDescent="0.3">
      <c r="A1692" s="12" t="s">
        <v>66</v>
      </c>
      <c r="B1692" s="12" t="s">
        <v>1768</v>
      </c>
      <c r="C1692" s="12">
        <v>1872</v>
      </c>
      <c r="D1692" s="12">
        <v>19</v>
      </c>
    </row>
    <row r="1693" spans="1:4" ht="28.8" x14ac:dyDescent="0.3">
      <c r="A1693" s="12" t="s">
        <v>66</v>
      </c>
      <c r="B1693" s="12" t="s">
        <v>1769</v>
      </c>
      <c r="C1693" s="12">
        <v>3203</v>
      </c>
      <c r="D1693" s="12">
        <v>32</v>
      </c>
    </row>
    <row r="1694" spans="1:4" ht="28.8" x14ac:dyDescent="0.3">
      <c r="A1694" s="12" t="s">
        <v>66</v>
      </c>
      <c r="B1694" s="12" t="s">
        <v>1770</v>
      </c>
      <c r="C1694" s="12">
        <v>3415</v>
      </c>
      <c r="D1694" s="12">
        <v>34</v>
      </c>
    </row>
    <row r="1695" spans="1:4" ht="28.8" x14ac:dyDescent="0.3">
      <c r="A1695" s="12" t="s">
        <v>66</v>
      </c>
      <c r="B1695" s="12" t="s">
        <v>1771</v>
      </c>
      <c r="C1695" s="12">
        <v>1782</v>
      </c>
      <c r="D1695" s="12">
        <v>18</v>
      </c>
    </row>
    <row r="1696" spans="1:4" ht="28.8" x14ac:dyDescent="0.3">
      <c r="A1696" s="12" t="s">
        <v>66</v>
      </c>
      <c r="B1696" s="12" t="s">
        <v>1772</v>
      </c>
      <c r="C1696" s="12">
        <v>1773</v>
      </c>
      <c r="D1696" s="12">
        <v>18</v>
      </c>
    </row>
    <row r="1697" spans="1:4" ht="28.8" x14ac:dyDescent="0.3">
      <c r="A1697" s="12" t="s">
        <v>66</v>
      </c>
      <c r="B1697" s="12" t="s">
        <v>1773</v>
      </c>
      <c r="C1697" s="12">
        <v>1275</v>
      </c>
      <c r="D1697" s="12">
        <v>13</v>
      </c>
    </row>
    <row r="1698" spans="1:4" ht="28.8" x14ac:dyDescent="0.3">
      <c r="A1698" s="12" t="s">
        <v>66</v>
      </c>
      <c r="B1698" s="12" t="s">
        <v>1774</v>
      </c>
      <c r="C1698" s="12">
        <v>1228</v>
      </c>
      <c r="D1698" s="12">
        <v>12</v>
      </c>
    </row>
    <row r="1699" spans="1:4" ht="28.8" x14ac:dyDescent="0.3">
      <c r="A1699" s="12" t="s">
        <v>66</v>
      </c>
      <c r="B1699" s="12" t="s">
        <v>1775</v>
      </c>
      <c r="C1699" s="12">
        <v>1310</v>
      </c>
      <c r="D1699" s="12">
        <v>13</v>
      </c>
    </row>
    <row r="1700" spans="1:4" ht="28.8" x14ac:dyDescent="0.3">
      <c r="A1700" s="12" t="s">
        <v>66</v>
      </c>
      <c r="B1700" s="12" t="s">
        <v>1776</v>
      </c>
      <c r="C1700" s="12">
        <v>1031</v>
      </c>
      <c r="D1700" s="12">
        <v>10</v>
      </c>
    </row>
    <row r="1701" spans="1:4" ht="28.8" x14ac:dyDescent="0.3">
      <c r="A1701" s="12" t="s">
        <v>66</v>
      </c>
      <c r="B1701" s="12" t="s">
        <v>1777</v>
      </c>
      <c r="C1701" s="12">
        <v>2152</v>
      </c>
      <c r="D1701" s="12">
        <v>22</v>
      </c>
    </row>
    <row r="1702" spans="1:4" ht="28.8" x14ac:dyDescent="0.3">
      <c r="A1702" s="12" t="s">
        <v>66</v>
      </c>
      <c r="B1702" s="12" t="s">
        <v>1778</v>
      </c>
      <c r="C1702" s="12">
        <v>1459</v>
      </c>
      <c r="D1702" s="12">
        <v>15</v>
      </c>
    </row>
    <row r="1703" spans="1:4" ht="28.8" x14ac:dyDescent="0.3">
      <c r="A1703" s="12" t="s">
        <v>66</v>
      </c>
      <c r="B1703" s="12" t="s">
        <v>1779</v>
      </c>
      <c r="C1703" s="12">
        <v>1665</v>
      </c>
      <c r="D1703" s="12">
        <v>17</v>
      </c>
    </row>
    <row r="1704" spans="1:4" ht="28.8" x14ac:dyDescent="0.3">
      <c r="A1704" s="12" t="s">
        <v>66</v>
      </c>
      <c r="B1704" s="12" t="s">
        <v>1780</v>
      </c>
      <c r="C1704" s="12">
        <v>2001</v>
      </c>
      <c r="D1704" s="12">
        <v>20</v>
      </c>
    </row>
    <row r="1705" spans="1:4" ht="28.8" x14ac:dyDescent="0.3">
      <c r="A1705" s="12" t="s">
        <v>66</v>
      </c>
      <c r="B1705" s="12" t="s">
        <v>1781</v>
      </c>
      <c r="C1705" s="12">
        <v>2249</v>
      </c>
      <c r="D1705" s="12">
        <v>22</v>
      </c>
    </row>
    <row r="1706" spans="1:4" ht="28.8" x14ac:dyDescent="0.3">
      <c r="A1706" s="12" t="s">
        <v>66</v>
      </c>
      <c r="B1706" s="12" t="s">
        <v>1782</v>
      </c>
      <c r="C1706" s="12">
        <v>825</v>
      </c>
      <c r="D1706" s="12">
        <v>8</v>
      </c>
    </row>
    <row r="1707" spans="1:4" ht="28.8" x14ac:dyDescent="0.3">
      <c r="A1707" s="12" t="s">
        <v>66</v>
      </c>
      <c r="B1707" s="12" t="s">
        <v>1783</v>
      </c>
      <c r="C1707" s="12">
        <v>4060</v>
      </c>
      <c r="D1707" s="12">
        <v>41</v>
      </c>
    </row>
    <row r="1708" spans="1:4" ht="43.2" x14ac:dyDescent="0.3">
      <c r="A1708" s="12" t="s">
        <v>67</v>
      </c>
      <c r="B1708" s="12" t="s">
        <v>1784</v>
      </c>
      <c r="C1708" s="12">
        <v>246</v>
      </c>
      <c r="D1708" s="12">
        <v>2</v>
      </c>
    </row>
    <row r="1709" spans="1:4" ht="43.2" x14ac:dyDescent="0.3">
      <c r="A1709" s="12" t="s">
        <v>67</v>
      </c>
      <c r="B1709" s="12" t="s">
        <v>1785</v>
      </c>
      <c r="C1709" s="12">
        <v>24</v>
      </c>
      <c r="D1709" s="12">
        <v>1</v>
      </c>
    </row>
    <row r="1710" spans="1:4" ht="28.8" x14ac:dyDescent="0.3">
      <c r="A1710" s="12" t="s">
        <v>67</v>
      </c>
      <c r="B1710" s="12" t="s">
        <v>1786</v>
      </c>
      <c r="C1710" s="12">
        <v>91</v>
      </c>
      <c r="D1710" s="12">
        <v>1</v>
      </c>
    </row>
    <row r="1711" spans="1:4" ht="28.8" x14ac:dyDescent="0.3">
      <c r="A1711" s="12" t="s">
        <v>67</v>
      </c>
      <c r="B1711" s="12" t="s">
        <v>1787</v>
      </c>
      <c r="C1711" s="12">
        <v>1089</v>
      </c>
      <c r="D1711" s="12">
        <v>11</v>
      </c>
    </row>
    <row r="1712" spans="1:4" ht="28.8" x14ac:dyDescent="0.3">
      <c r="A1712" s="12" t="s">
        <v>67</v>
      </c>
      <c r="B1712" s="12" t="s">
        <v>1788</v>
      </c>
      <c r="C1712" s="12">
        <v>83</v>
      </c>
      <c r="D1712" s="12">
        <v>1</v>
      </c>
    </row>
    <row r="1713" spans="1:4" ht="43.2" x14ac:dyDescent="0.3">
      <c r="A1713" s="12" t="s">
        <v>67</v>
      </c>
      <c r="B1713" s="12" t="s">
        <v>1789</v>
      </c>
      <c r="C1713" s="12">
        <v>66</v>
      </c>
      <c r="D1713" s="12">
        <v>1</v>
      </c>
    </row>
    <row r="1714" spans="1:4" x14ac:dyDescent="0.3">
      <c r="A1714" s="12" t="s">
        <v>67</v>
      </c>
      <c r="B1714" s="12" t="s">
        <v>1790</v>
      </c>
      <c r="C1714" s="12">
        <v>22</v>
      </c>
      <c r="D1714" s="12">
        <v>1</v>
      </c>
    </row>
    <row r="1715" spans="1:4" ht="28.8" x14ac:dyDescent="0.3">
      <c r="A1715" s="12" t="s">
        <v>67</v>
      </c>
      <c r="B1715" s="12" t="s">
        <v>1791</v>
      </c>
      <c r="C1715" s="12">
        <v>43</v>
      </c>
      <c r="D1715" s="12">
        <v>1</v>
      </c>
    </row>
    <row r="1716" spans="1:4" ht="28.8" x14ac:dyDescent="0.3">
      <c r="A1716" s="12" t="s">
        <v>67</v>
      </c>
      <c r="B1716" s="12" t="s">
        <v>1792</v>
      </c>
      <c r="C1716" s="12">
        <v>334</v>
      </c>
      <c r="D1716" s="12">
        <v>3</v>
      </c>
    </row>
    <row r="1717" spans="1:4" x14ac:dyDescent="0.3">
      <c r="A1717" s="12" t="s">
        <v>68</v>
      </c>
      <c r="B1717" s="12" t="s">
        <v>1793</v>
      </c>
      <c r="C1717" s="12">
        <v>537</v>
      </c>
      <c r="D1717" s="12">
        <v>5</v>
      </c>
    </row>
    <row r="1718" spans="1:4" ht="28.8" x14ac:dyDescent="0.3">
      <c r="A1718" s="12" t="s">
        <v>68</v>
      </c>
      <c r="B1718" s="12" t="s">
        <v>1794</v>
      </c>
      <c r="C1718" s="12">
        <v>495</v>
      </c>
      <c r="D1718" s="12">
        <v>5</v>
      </c>
    </row>
    <row r="1719" spans="1:4" ht="28.8" x14ac:dyDescent="0.3">
      <c r="A1719" s="12" t="s">
        <v>68</v>
      </c>
      <c r="B1719" s="12" t="s">
        <v>1795</v>
      </c>
      <c r="C1719" s="12">
        <v>139</v>
      </c>
      <c r="D1719" s="12">
        <v>1</v>
      </c>
    </row>
    <row r="1720" spans="1:4" ht="43.2" x14ac:dyDescent="0.3">
      <c r="A1720" s="12" t="s">
        <v>68</v>
      </c>
      <c r="B1720" s="12" t="s">
        <v>1796</v>
      </c>
      <c r="C1720" s="12">
        <v>247</v>
      </c>
      <c r="D1720" s="12">
        <v>2</v>
      </c>
    </row>
    <row r="1721" spans="1:4" ht="28.8" x14ac:dyDescent="0.3">
      <c r="A1721" s="12" t="s">
        <v>68</v>
      </c>
      <c r="B1721" s="12" t="s">
        <v>446</v>
      </c>
      <c r="C1721" s="12">
        <v>81</v>
      </c>
      <c r="D1721" s="12">
        <v>1</v>
      </c>
    </row>
    <row r="1722" spans="1:4" ht="28.8" x14ac:dyDescent="0.3">
      <c r="A1722" s="12" t="s">
        <v>68</v>
      </c>
      <c r="B1722" s="12" t="s">
        <v>1797</v>
      </c>
      <c r="C1722" s="12">
        <v>886</v>
      </c>
      <c r="D1722" s="12">
        <v>9</v>
      </c>
    </row>
    <row r="1723" spans="1:4" x14ac:dyDescent="0.3">
      <c r="A1723" s="12" t="s">
        <v>68</v>
      </c>
      <c r="B1723" s="12" t="s">
        <v>1798</v>
      </c>
      <c r="C1723" s="12">
        <v>41</v>
      </c>
      <c r="D1723" s="12">
        <v>1</v>
      </c>
    </row>
    <row r="1724" spans="1:4" ht="28.8" x14ac:dyDescent="0.3">
      <c r="A1724" s="12" t="s">
        <v>68</v>
      </c>
      <c r="B1724" s="12" t="s">
        <v>1799</v>
      </c>
      <c r="C1724" s="12">
        <v>217</v>
      </c>
      <c r="D1724" s="12">
        <v>2</v>
      </c>
    </row>
    <row r="1725" spans="1:4" ht="28.8" x14ac:dyDescent="0.3">
      <c r="A1725" s="12" t="s">
        <v>68</v>
      </c>
      <c r="B1725" s="12" t="s">
        <v>1800</v>
      </c>
      <c r="C1725" s="12">
        <v>340</v>
      </c>
      <c r="D1725" s="12">
        <v>3</v>
      </c>
    </row>
    <row r="1726" spans="1:4" x14ac:dyDescent="0.3">
      <c r="A1726" s="12" t="s">
        <v>68</v>
      </c>
      <c r="B1726" s="12" t="s">
        <v>1801</v>
      </c>
      <c r="C1726" s="12">
        <v>270</v>
      </c>
      <c r="D1726" s="12">
        <v>3</v>
      </c>
    </row>
    <row r="1727" spans="1:4" x14ac:dyDescent="0.3">
      <c r="A1727" s="12" t="s">
        <v>68</v>
      </c>
      <c r="B1727" s="12" t="s">
        <v>1802</v>
      </c>
      <c r="C1727" s="12">
        <v>606</v>
      </c>
      <c r="D1727" s="12">
        <v>6</v>
      </c>
    </row>
    <row r="1728" spans="1:4" x14ac:dyDescent="0.3">
      <c r="A1728" s="12" t="s">
        <v>68</v>
      </c>
      <c r="B1728" s="12" t="s">
        <v>1803</v>
      </c>
      <c r="C1728" s="12">
        <v>376</v>
      </c>
      <c r="D1728" s="12">
        <v>4</v>
      </c>
    </row>
    <row r="1729" spans="1:4" ht="43.2" x14ac:dyDescent="0.3">
      <c r="A1729" s="12" t="s">
        <v>68</v>
      </c>
      <c r="B1729" s="12" t="s">
        <v>1804</v>
      </c>
      <c r="C1729" s="12">
        <v>219</v>
      </c>
      <c r="D1729" s="12">
        <v>2</v>
      </c>
    </row>
    <row r="1730" spans="1:4" ht="43.2" x14ac:dyDescent="0.3">
      <c r="A1730" s="12" t="s">
        <v>68</v>
      </c>
      <c r="B1730" s="12" t="s">
        <v>1805</v>
      </c>
      <c r="C1730" s="12">
        <v>204</v>
      </c>
      <c r="D1730" s="12">
        <v>2</v>
      </c>
    </row>
    <row r="1731" spans="1:4" ht="43.2" x14ac:dyDescent="0.3">
      <c r="A1731" s="12" t="s">
        <v>69</v>
      </c>
      <c r="B1731" s="12" t="s">
        <v>1806</v>
      </c>
      <c r="C1731" s="12">
        <v>472</v>
      </c>
      <c r="D1731" s="12">
        <v>5</v>
      </c>
    </row>
    <row r="1732" spans="1:4" ht="43.2" x14ac:dyDescent="0.3">
      <c r="A1732" s="12" t="s">
        <v>69</v>
      </c>
      <c r="B1732" s="12" t="s">
        <v>1807</v>
      </c>
      <c r="C1732" s="12">
        <v>522</v>
      </c>
      <c r="D1732" s="12">
        <v>5</v>
      </c>
    </row>
    <row r="1733" spans="1:4" ht="43.2" x14ac:dyDescent="0.3">
      <c r="A1733" s="12" t="s">
        <v>69</v>
      </c>
      <c r="B1733" s="12" t="s">
        <v>1808</v>
      </c>
      <c r="C1733" s="12">
        <v>1205</v>
      </c>
      <c r="D1733" s="12">
        <v>12</v>
      </c>
    </row>
    <row r="1734" spans="1:4" ht="72" x14ac:dyDescent="0.3">
      <c r="A1734" s="12" t="s">
        <v>69</v>
      </c>
      <c r="B1734" s="12" t="s">
        <v>1809</v>
      </c>
      <c r="C1734" s="12">
        <v>280</v>
      </c>
      <c r="D1734" s="12">
        <v>3</v>
      </c>
    </row>
    <row r="1735" spans="1:4" ht="43.2" x14ac:dyDescent="0.3">
      <c r="A1735" s="12" t="s">
        <v>69</v>
      </c>
      <c r="B1735" s="12" t="s">
        <v>1810</v>
      </c>
      <c r="C1735" s="12">
        <v>777</v>
      </c>
      <c r="D1735" s="12">
        <v>8</v>
      </c>
    </row>
    <row r="1736" spans="1:4" ht="43.2" x14ac:dyDescent="0.3">
      <c r="A1736" s="12" t="s">
        <v>69</v>
      </c>
      <c r="B1736" s="12" t="s">
        <v>1811</v>
      </c>
      <c r="C1736" s="12">
        <v>337</v>
      </c>
      <c r="D1736" s="12">
        <v>3</v>
      </c>
    </row>
    <row r="1737" spans="1:4" ht="43.2" x14ac:dyDescent="0.3">
      <c r="A1737" s="12" t="s">
        <v>69</v>
      </c>
      <c r="B1737" s="12" t="s">
        <v>1812</v>
      </c>
      <c r="C1737" s="12">
        <v>397</v>
      </c>
      <c r="D1737" s="12">
        <v>4</v>
      </c>
    </row>
    <row r="1738" spans="1:4" ht="72" x14ac:dyDescent="0.3">
      <c r="A1738" s="12" t="s">
        <v>69</v>
      </c>
      <c r="B1738" s="12" t="s">
        <v>1813</v>
      </c>
      <c r="C1738" s="12">
        <v>824</v>
      </c>
      <c r="D1738" s="12">
        <v>8</v>
      </c>
    </row>
    <row r="1739" spans="1:4" ht="28.8" x14ac:dyDescent="0.3">
      <c r="A1739" s="12" t="s">
        <v>69</v>
      </c>
      <c r="B1739" s="12" t="s">
        <v>446</v>
      </c>
      <c r="C1739" s="12">
        <v>587</v>
      </c>
      <c r="D1739" s="12">
        <v>6</v>
      </c>
    </row>
    <row r="1740" spans="1:4" ht="43.2" x14ac:dyDescent="0.3">
      <c r="A1740" s="12" t="s">
        <v>69</v>
      </c>
      <c r="B1740" s="12" t="s">
        <v>1814</v>
      </c>
      <c r="C1740" s="12">
        <v>836</v>
      </c>
      <c r="D1740" s="12">
        <v>8</v>
      </c>
    </row>
    <row r="1741" spans="1:4" ht="43.2" x14ac:dyDescent="0.3">
      <c r="A1741" s="12" t="s">
        <v>69</v>
      </c>
      <c r="B1741" s="12" t="s">
        <v>1815</v>
      </c>
      <c r="C1741" s="12">
        <v>708</v>
      </c>
      <c r="D1741" s="12">
        <v>7</v>
      </c>
    </row>
    <row r="1742" spans="1:4" ht="43.2" x14ac:dyDescent="0.3">
      <c r="A1742" s="12" t="s">
        <v>69</v>
      </c>
      <c r="B1742" s="12" t="s">
        <v>1816</v>
      </c>
      <c r="C1742" s="12">
        <v>1027</v>
      </c>
      <c r="D1742" s="12">
        <v>10</v>
      </c>
    </row>
    <row r="1743" spans="1:4" ht="43.2" x14ac:dyDescent="0.3">
      <c r="A1743" s="12" t="s">
        <v>69</v>
      </c>
      <c r="B1743" s="12" t="s">
        <v>1817</v>
      </c>
      <c r="C1743" s="12">
        <v>752</v>
      </c>
      <c r="D1743" s="12">
        <v>8</v>
      </c>
    </row>
    <row r="1744" spans="1:4" ht="43.2" x14ac:dyDescent="0.3">
      <c r="A1744" s="12" t="s">
        <v>69</v>
      </c>
      <c r="B1744" s="12" t="s">
        <v>1818</v>
      </c>
      <c r="C1744" s="12">
        <v>466</v>
      </c>
      <c r="D1744" s="12">
        <v>5</v>
      </c>
    </row>
    <row r="1745" spans="1:4" ht="43.2" x14ac:dyDescent="0.3">
      <c r="A1745" s="12" t="s">
        <v>69</v>
      </c>
      <c r="B1745" s="12" t="s">
        <v>1819</v>
      </c>
      <c r="C1745" s="12">
        <v>848</v>
      </c>
      <c r="D1745" s="12">
        <v>8</v>
      </c>
    </row>
    <row r="1746" spans="1:4" ht="43.2" x14ac:dyDescent="0.3">
      <c r="A1746" s="12" t="s">
        <v>69</v>
      </c>
      <c r="B1746" s="12" t="s">
        <v>1820</v>
      </c>
      <c r="C1746" s="12">
        <v>493</v>
      </c>
      <c r="D1746" s="12">
        <v>5</v>
      </c>
    </row>
    <row r="1747" spans="1:4" ht="43.2" x14ac:dyDescent="0.3">
      <c r="A1747" s="12" t="s">
        <v>69</v>
      </c>
      <c r="B1747" s="12" t="s">
        <v>1821</v>
      </c>
      <c r="C1747" s="12">
        <v>1131</v>
      </c>
      <c r="D1747" s="12">
        <v>11</v>
      </c>
    </row>
    <row r="1748" spans="1:4" ht="28.8" x14ac:dyDescent="0.3">
      <c r="A1748" s="12" t="s">
        <v>69</v>
      </c>
      <c r="B1748" s="12" t="s">
        <v>1822</v>
      </c>
      <c r="C1748" s="12">
        <v>247</v>
      </c>
      <c r="D1748" s="12">
        <v>2</v>
      </c>
    </row>
    <row r="1749" spans="1:4" ht="28.8" x14ac:dyDescent="0.3">
      <c r="A1749" s="12" t="s">
        <v>69</v>
      </c>
      <c r="B1749" s="12" t="s">
        <v>1823</v>
      </c>
      <c r="C1749" s="12">
        <v>1063</v>
      </c>
      <c r="D1749" s="12">
        <v>11</v>
      </c>
    </row>
    <row r="1750" spans="1:4" ht="43.2" x14ac:dyDescent="0.3">
      <c r="A1750" s="12" t="s">
        <v>69</v>
      </c>
      <c r="B1750" s="12" t="s">
        <v>1824</v>
      </c>
      <c r="C1750" s="12">
        <v>1463</v>
      </c>
      <c r="D1750" s="12">
        <v>15</v>
      </c>
    </row>
    <row r="1751" spans="1:4" ht="43.2" x14ac:dyDescent="0.3">
      <c r="A1751" s="12" t="s">
        <v>69</v>
      </c>
      <c r="B1751" s="12" t="s">
        <v>1825</v>
      </c>
      <c r="C1751" s="12">
        <v>303</v>
      </c>
      <c r="D1751" s="12">
        <v>3</v>
      </c>
    </row>
    <row r="1752" spans="1:4" x14ac:dyDescent="0.3">
      <c r="A1752" s="12" t="s">
        <v>69</v>
      </c>
      <c r="B1752" s="12" t="s">
        <v>1826</v>
      </c>
      <c r="C1752" s="12">
        <v>458</v>
      </c>
      <c r="D1752" s="12">
        <v>5</v>
      </c>
    </row>
    <row r="1753" spans="1:4" ht="43.2" x14ac:dyDescent="0.3">
      <c r="A1753" s="12" t="s">
        <v>69</v>
      </c>
      <c r="B1753" s="12" t="s">
        <v>1827</v>
      </c>
      <c r="C1753" s="12">
        <v>1086</v>
      </c>
      <c r="D1753" s="12">
        <v>11</v>
      </c>
    </row>
    <row r="1754" spans="1:4" ht="28.8" x14ac:dyDescent="0.3">
      <c r="A1754" s="12" t="s">
        <v>69</v>
      </c>
      <c r="B1754" s="12" t="s">
        <v>1828</v>
      </c>
      <c r="C1754" s="12">
        <v>622</v>
      </c>
      <c r="D1754" s="12">
        <v>6</v>
      </c>
    </row>
    <row r="1755" spans="1:4" ht="43.2" x14ac:dyDescent="0.3">
      <c r="A1755" s="12" t="s">
        <v>69</v>
      </c>
      <c r="B1755" s="12" t="s">
        <v>1829</v>
      </c>
      <c r="C1755" s="12">
        <v>594</v>
      </c>
      <c r="D1755" s="12">
        <v>6</v>
      </c>
    </row>
    <row r="1756" spans="1:4" ht="43.2" x14ac:dyDescent="0.3">
      <c r="A1756" s="12" t="s">
        <v>69</v>
      </c>
      <c r="B1756" s="12" t="s">
        <v>1830</v>
      </c>
      <c r="C1756" s="12">
        <v>293</v>
      </c>
      <c r="D1756" s="12">
        <v>3</v>
      </c>
    </row>
    <row r="1757" spans="1:4" x14ac:dyDescent="0.3">
      <c r="A1757" s="12" t="s">
        <v>70</v>
      </c>
      <c r="B1757" s="12" t="s">
        <v>1831</v>
      </c>
      <c r="C1757" s="12">
        <v>770</v>
      </c>
      <c r="D1757" s="12">
        <v>8</v>
      </c>
    </row>
    <row r="1758" spans="1:4" ht="28.8" x14ac:dyDescent="0.3">
      <c r="A1758" s="12" t="s">
        <v>70</v>
      </c>
      <c r="B1758" s="12" t="s">
        <v>1832</v>
      </c>
      <c r="C1758" s="12">
        <v>479</v>
      </c>
      <c r="D1758" s="12">
        <v>5</v>
      </c>
    </row>
    <row r="1759" spans="1:4" ht="28.8" x14ac:dyDescent="0.3">
      <c r="A1759" s="12" t="s">
        <v>70</v>
      </c>
      <c r="B1759" s="12" t="s">
        <v>1833</v>
      </c>
      <c r="C1759" s="12">
        <v>438</v>
      </c>
      <c r="D1759" s="12">
        <v>4</v>
      </c>
    </row>
    <row r="1760" spans="1:4" ht="43.2" x14ac:dyDescent="0.3">
      <c r="A1760" s="12" t="s">
        <v>70</v>
      </c>
      <c r="B1760" s="12" t="s">
        <v>1834</v>
      </c>
      <c r="C1760" s="12">
        <v>418</v>
      </c>
      <c r="D1760" s="12">
        <v>4</v>
      </c>
    </row>
    <row r="1761" spans="1:4" ht="28.8" x14ac:dyDescent="0.3">
      <c r="A1761" s="12" t="s">
        <v>70</v>
      </c>
      <c r="B1761" s="12" t="s">
        <v>1562</v>
      </c>
      <c r="C1761" s="12">
        <v>1014</v>
      </c>
      <c r="D1761" s="12">
        <v>10</v>
      </c>
    </row>
    <row r="1762" spans="1:4" ht="43.2" x14ac:dyDescent="0.3">
      <c r="A1762" s="12" t="s">
        <v>70</v>
      </c>
      <c r="B1762" s="12" t="s">
        <v>1835</v>
      </c>
      <c r="C1762" s="12">
        <v>608</v>
      </c>
      <c r="D1762" s="12">
        <v>6</v>
      </c>
    </row>
    <row r="1763" spans="1:4" ht="43.2" x14ac:dyDescent="0.3">
      <c r="A1763" s="12" t="s">
        <v>70</v>
      </c>
      <c r="B1763" s="12" t="s">
        <v>1836</v>
      </c>
      <c r="C1763" s="12">
        <v>225</v>
      </c>
      <c r="D1763" s="12">
        <v>2</v>
      </c>
    </row>
    <row r="1764" spans="1:4" ht="43.2" x14ac:dyDescent="0.3">
      <c r="A1764" s="12" t="s">
        <v>70</v>
      </c>
      <c r="B1764" s="12" t="s">
        <v>1837</v>
      </c>
      <c r="C1764" s="12">
        <v>2589</v>
      </c>
      <c r="D1764" s="12">
        <v>26</v>
      </c>
    </row>
    <row r="1765" spans="1:4" ht="28.8" x14ac:dyDescent="0.3">
      <c r="A1765" s="12" t="s">
        <v>70</v>
      </c>
      <c r="B1765" s="12" t="s">
        <v>1838</v>
      </c>
      <c r="C1765" s="12">
        <v>1181</v>
      </c>
      <c r="D1765" s="12">
        <v>12</v>
      </c>
    </row>
    <row r="1766" spans="1:4" ht="28.8" x14ac:dyDescent="0.3">
      <c r="A1766" s="12" t="s">
        <v>70</v>
      </c>
      <c r="B1766" s="12" t="s">
        <v>1839</v>
      </c>
      <c r="C1766" s="12">
        <v>592</v>
      </c>
      <c r="D1766" s="12">
        <v>6</v>
      </c>
    </row>
    <row r="1767" spans="1:4" ht="57.6" x14ac:dyDescent="0.3">
      <c r="A1767" s="12" t="s">
        <v>70</v>
      </c>
      <c r="B1767" s="12" t="s">
        <v>1840</v>
      </c>
      <c r="C1767" s="12">
        <v>937</v>
      </c>
      <c r="D1767" s="12">
        <v>9</v>
      </c>
    </row>
    <row r="1768" spans="1:4" ht="57.6" x14ac:dyDescent="0.3">
      <c r="A1768" s="12" t="s">
        <v>70</v>
      </c>
      <c r="B1768" s="12" t="s">
        <v>1841</v>
      </c>
      <c r="C1768" s="12">
        <v>2091</v>
      </c>
      <c r="D1768" s="12">
        <v>21</v>
      </c>
    </row>
    <row r="1769" spans="1:4" ht="57.6" x14ac:dyDescent="0.3">
      <c r="A1769" s="12" t="s">
        <v>70</v>
      </c>
      <c r="B1769" s="12" t="s">
        <v>1842</v>
      </c>
      <c r="C1769" s="12">
        <v>1430</v>
      </c>
      <c r="D1769" s="12">
        <v>14</v>
      </c>
    </row>
    <row r="1770" spans="1:4" ht="57.6" x14ac:dyDescent="0.3">
      <c r="A1770" s="12" t="s">
        <v>70</v>
      </c>
      <c r="B1770" s="12" t="s">
        <v>1843</v>
      </c>
      <c r="C1770" s="12">
        <v>1246</v>
      </c>
      <c r="D1770" s="12">
        <v>12</v>
      </c>
    </row>
    <row r="1771" spans="1:4" ht="57.6" x14ac:dyDescent="0.3">
      <c r="A1771" s="12" t="s">
        <v>70</v>
      </c>
      <c r="B1771" s="12" t="s">
        <v>1844</v>
      </c>
      <c r="C1771" s="12">
        <v>1403</v>
      </c>
      <c r="D1771" s="12">
        <v>14</v>
      </c>
    </row>
    <row r="1772" spans="1:4" ht="43.2" x14ac:dyDescent="0.3">
      <c r="A1772" s="12" t="s">
        <v>70</v>
      </c>
      <c r="B1772" s="12" t="s">
        <v>1845</v>
      </c>
      <c r="C1772" s="12">
        <v>1904</v>
      </c>
      <c r="D1772" s="12">
        <v>19</v>
      </c>
    </row>
    <row r="1773" spans="1:4" ht="43.2" x14ac:dyDescent="0.3">
      <c r="A1773" s="12" t="s">
        <v>70</v>
      </c>
      <c r="B1773" s="12" t="s">
        <v>1846</v>
      </c>
      <c r="C1773" s="12">
        <v>1145</v>
      </c>
      <c r="D1773" s="12">
        <v>11</v>
      </c>
    </row>
    <row r="1774" spans="1:4" ht="57.6" x14ac:dyDescent="0.3">
      <c r="A1774" s="12" t="s">
        <v>70</v>
      </c>
      <c r="B1774" s="12" t="s">
        <v>1847</v>
      </c>
      <c r="C1774" s="12">
        <v>2192</v>
      </c>
      <c r="D1774" s="12">
        <v>22</v>
      </c>
    </row>
    <row r="1775" spans="1:4" x14ac:dyDescent="0.3">
      <c r="A1775" s="12" t="s">
        <v>70</v>
      </c>
      <c r="B1775" s="12" t="s">
        <v>387</v>
      </c>
      <c r="C1775" s="12">
        <v>441</v>
      </c>
      <c r="D1775" s="12">
        <v>4</v>
      </c>
    </row>
    <row r="1776" spans="1:4" ht="28.8" x14ac:dyDescent="0.3">
      <c r="A1776" s="12" t="s">
        <v>70</v>
      </c>
      <c r="B1776" s="12" t="s">
        <v>1848</v>
      </c>
      <c r="C1776" s="12">
        <v>470</v>
      </c>
      <c r="D1776" s="12">
        <v>5</v>
      </c>
    </row>
    <row r="1777" spans="1:4" ht="43.2" x14ac:dyDescent="0.3">
      <c r="A1777" s="12" t="s">
        <v>70</v>
      </c>
      <c r="B1777" s="12" t="s">
        <v>902</v>
      </c>
      <c r="C1777" s="12">
        <v>815</v>
      </c>
      <c r="D1777" s="12">
        <v>8</v>
      </c>
    </row>
    <row r="1778" spans="1:4" ht="28.8" x14ac:dyDescent="0.3">
      <c r="A1778" s="12" t="s">
        <v>70</v>
      </c>
      <c r="B1778" s="12" t="s">
        <v>1849</v>
      </c>
      <c r="C1778" s="12">
        <v>1311</v>
      </c>
      <c r="D1778" s="12">
        <v>13</v>
      </c>
    </row>
    <row r="1779" spans="1:4" ht="43.2" x14ac:dyDescent="0.3">
      <c r="A1779" s="12" t="s">
        <v>70</v>
      </c>
      <c r="B1779" s="12" t="s">
        <v>1850</v>
      </c>
      <c r="C1779" s="12">
        <v>483</v>
      </c>
      <c r="D1779" s="12">
        <v>5</v>
      </c>
    </row>
    <row r="1780" spans="1:4" ht="43.2" x14ac:dyDescent="0.3">
      <c r="A1780" s="12" t="s">
        <v>70</v>
      </c>
      <c r="B1780" s="12" t="s">
        <v>910</v>
      </c>
      <c r="C1780" s="12">
        <v>464</v>
      </c>
      <c r="D1780" s="12">
        <v>5</v>
      </c>
    </row>
    <row r="1781" spans="1:4" x14ac:dyDescent="0.3">
      <c r="A1781" s="12" t="s">
        <v>71</v>
      </c>
      <c r="B1781" s="12" t="s">
        <v>1851</v>
      </c>
      <c r="C1781" s="12">
        <v>1237</v>
      </c>
      <c r="D1781" s="12">
        <v>12</v>
      </c>
    </row>
    <row r="1782" spans="1:4" x14ac:dyDescent="0.3">
      <c r="A1782" s="12" t="s">
        <v>71</v>
      </c>
      <c r="B1782" s="12" t="s">
        <v>1852</v>
      </c>
      <c r="C1782" s="12">
        <v>757</v>
      </c>
      <c r="D1782" s="12">
        <v>8</v>
      </c>
    </row>
    <row r="1783" spans="1:4" x14ac:dyDescent="0.3">
      <c r="A1783" s="12" t="s">
        <v>71</v>
      </c>
      <c r="B1783" s="12" t="s">
        <v>1853</v>
      </c>
      <c r="C1783" s="12">
        <v>985</v>
      </c>
      <c r="D1783" s="12">
        <v>10</v>
      </c>
    </row>
    <row r="1784" spans="1:4" x14ac:dyDescent="0.3">
      <c r="A1784" s="12" t="s">
        <v>71</v>
      </c>
      <c r="B1784" s="12" t="s">
        <v>1854</v>
      </c>
      <c r="C1784" s="12">
        <v>892</v>
      </c>
      <c r="D1784" s="12">
        <v>9</v>
      </c>
    </row>
    <row r="1785" spans="1:4" x14ac:dyDescent="0.3">
      <c r="A1785" s="12" t="s">
        <v>71</v>
      </c>
      <c r="B1785" s="12" t="s">
        <v>1855</v>
      </c>
      <c r="C1785" s="12">
        <v>589</v>
      </c>
      <c r="D1785" s="12">
        <v>6</v>
      </c>
    </row>
    <row r="1786" spans="1:4" x14ac:dyDescent="0.3">
      <c r="A1786" s="12" t="s">
        <v>71</v>
      </c>
      <c r="B1786" s="12" t="s">
        <v>1856</v>
      </c>
      <c r="C1786" s="12">
        <v>1374</v>
      </c>
      <c r="D1786" s="12">
        <v>14</v>
      </c>
    </row>
    <row r="1787" spans="1:4" x14ac:dyDescent="0.3">
      <c r="A1787" s="12" t="s">
        <v>71</v>
      </c>
      <c r="B1787" s="12" t="s">
        <v>1857</v>
      </c>
      <c r="C1787" s="12">
        <v>1109</v>
      </c>
      <c r="D1787" s="12">
        <v>11</v>
      </c>
    </row>
    <row r="1788" spans="1:4" x14ac:dyDescent="0.3">
      <c r="A1788" s="12" t="s">
        <v>71</v>
      </c>
      <c r="B1788" s="12" t="s">
        <v>1858</v>
      </c>
      <c r="C1788" s="12">
        <v>1408</v>
      </c>
      <c r="D1788" s="12">
        <v>14</v>
      </c>
    </row>
    <row r="1789" spans="1:4" x14ac:dyDescent="0.3">
      <c r="A1789" s="12" t="s">
        <v>71</v>
      </c>
      <c r="B1789" s="12" t="s">
        <v>1859</v>
      </c>
      <c r="C1789" s="12">
        <v>1719</v>
      </c>
      <c r="D1789" s="12">
        <v>17</v>
      </c>
    </row>
    <row r="1790" spans="1:4" x14ac:dyDescent="0.3">
      <c r="A1790" s="12" t="s">
        <v>71</v>
      </c>
      <c r="B1790" s="12" t="s">
        <v>1199</v>
      </c>
      <c r="C1790" s="12">
        <v>632</v>
      </c>
      <c r="D1790" s="12">
        <v>6</v>
      </c>
    </row>
    <row r="1791" spans="1:4" x14ac:dyDescent="0.3">
      <c r="A1791" s="12" t="s">
        <v>71</v>
      </c>
      <c r="B1791" s="12" t="s">
        <v>1200</v>
      </c>
      <c r="C1791" s="12">
        <v>1079</v>
      </c>
      <c r="D1791" s="12">
        <v>11</v>
      </c>
    </row>
    <row r="1792" spans="1:4" x14ac:dyDescent="0.3">
      <c r="A1792" s="12" t="s">
        <v>71</v>
      </c>
      <c r="B1792" s="12" t="s">
        <v>1201</v>
      </c>
      <c r="C1792" s="12">
        <v>1597</v>
      </c>
      <c r="D1792" s="12">
        <v>16</v>
      </c>
    </row>
    <row r="1793" spans="1:4" x14ac:dyDescent="0.3">
      <c r="A1793" s="12" t="s">
        <v>71</v>
      </c>
      <c r="B1793" s="12" t="s">
        <v>1202</v>
      </c>
      <c r="C1793" s="12">
        <v>1409</v>
      </c>
      <c r="D1793" s="12">
        <v>14</v>
      </c>
    </row>
    <row r="1794" spans="1:4" x14ac:dyDescent="0.3">
      <c r="A1794" s="12" t="s">
        <v>71</v>
      </c>
      <c r="B1794" s="12" t="s">
        <v>1203</v>
      </c>
      <c r="C1794" s="12">
        <v>1237</v>
      </c>
      <c r="D1794" s="12">
        <v>12</v>
      </c>
    </row>
    <row r="1795" spans="1:4" x14ac:dyDescent="0.3">
      <c r="A1795" s="12" t="s">
        <v>71</v>
      </c>
      <c r="B1795" s="12" t="s">
        <v>1204</v>
      </c>
      <c r="C1795" s="12">
        <v>970</v>
      </c>
      <c r="D1795" s="12">
        <v>10</v>
      </c>
    </row>
    <row r="1796" spans="1:4" x14ac:dyDescent="0.3">
      <c r="A1796" s="12" t="s">
        <v>71</v>
      </c>
      <c r="B1796" s="12" t="s">
        <v>1206</v>
      </c>
      <c r="C1796" s="12">
        <v>1931</v>
      </c>
      <c r="D1796" s="12">
        <v>19</v>
      </c>
    </row>
    <row r="1797" spans="1:4" x14ac:dyDescent="0.3">
      <c r="A1797" s="12" t="s">
        <v>71</v>
      </c>
      <c r="B1797" s="12" t="s">
        <v>1208</v>
      </c>
      <c r="C1797" s="12">
        <v>1523</v>
      </c>
      <c r="D1797" s="12">
        <v>15</v>
      </c>
    </row>
    <row r="1798" spans="1:4" x14ac:dyDescent="0.3">
      <c r="A1798" s="12" t="s">
        <v>71</v>
      </c>
      <c r="B1798" s="12" t="s">
        <v>1209</v>
      </c>
      <c r="C1798" s="12">
        <v>1904</v>
      </c>
      <c r="D1798" s="12">
        <v>19</v>
      </c>
    </row>
    <row r="1799" spans="1:4" x14ac:dyDescent="0.3">
      <c r="A1799" s="12" t="s">
        <v>71</v>
      </c>
      <c r="B1799" s="12" t="s">
        <v>1210</v>
      </c>
      <c r="C1799" s="12">
        <v>1084</v>
      </c>
      <c r="D1799" s="12">
        <v>11</v>
      </c>
    </row>
    <row r="1800" spans="1:4" x14ac:dyDescent="0.3">
      <c r="A1800" s="12" t="s">
        <v>71</v>
      </c>
      <c r="B1800" s="12" t="s">
        <v>1211</v>
      </c>
      <c r="C1800" s="12">
        <v>1387</v>
      </c>
      <c r="D1800" s="12">
        <v>14</v>
      </c>
    </row>
    <row r="1801" spans="1:4" x14ac:dyDescent="0.3">
      <c r="A1801" s="12" t="s">
        <v>71</v>
      </c>
      <c r="B1801" s="12" t="s">
        <v>1860</v>
      </c>
      <c r="C1801" s="12">
        <v>2168</v>
      </c>
      <c r="D1801" s="12">
        <v>22</v>
      </c>
    </row>
    <row r="1802" spans="1:4" x14ac:dyDescent="0.3">
      <c r="A1802" s="12" t="s">
        <v>71</v>
      </c>
      <c r="B1802" s="12" t="s">
        <v>1861</v>
      </c>
      <c r="C1802" s="12">
        <v>1209</v>
      </c>
      <c r="D1802" s="12">
        <v>12</v>
      </c>
    </row>
    <row r="1803" spans="1:4" x14ac:dyDescent="0.3">
      <c r="A1803" s="12" t="s">
        <v>71</v>
      </c>
      <c r="B1803" s="12" t="s">
        <v>1862</v>
      </c>
      <c r="C1803" s="12">
        <v>2314</v>
      </c>
      <c r="D1803" s="12">
        <v>23</v>
      </c>
    </row>
    <row r="1804" spans="1:4" x14ac:dyDescent="0.3">
      <c r="A1804" s="12" t="s">
        <v>71</v>
      </c>
      <c r="B1804" s="12" t="s">
        <v>1863</v>
      </c>
      <c r="C1804" s="12">
        <v>976</v>
      </c>
      <c r="D1804" s="12">
        <v>10</v>
      </c>
    </row>
    <row r="1805" spans="1:4" x14ac:dyDescent="0.3">
      <c r="A1805" s="12" t="s">
        <v>71</v>
      </c>
      <c r="B1805" s="12" t="s">
        <v>1864</v>
      </c>
      <c r="C1805" s="12">
        <v>652</v>
      </c>
      <c r="D1805" s="12">
        <v>7</v>
      </c>
    </row>
    <row r="1806" spans="1:4" x14ac:dyDescent="0.3">
      <c r="A1806" s="12" t="s">
        <v>71</v>
      </c>
      <c r="B1806" s="12" t="s">
        <v>1865</v>
      </c>
      <c r="C1806" s="12">
        <v>1242</v>
      </c>
      <c r="D1806" s="12">
        <v>12</v>
      </c>
    </row>
    <row r="1807" spans="1:4" x14ac:dyDescent="0.3">
      <c r="A1807" s="12" t="s">
        <v>71</v>
      </c>
      <c r="B1807" s="12" t="s">
        <v>1866</v>
      </c>
      <c r="C1807" s="12">
        <v>747</v>
      </c>
      <c r="D1807" s="12">
        <v>7</v>
      </c>
    </row>
    <row r="1808" spans="1:4" x14ac:dyDescent="0.3">
      <c r="A1808" s="12" t="s">
        <v>71</v>
      </c>
      <c r="B1808" s="12" t="s">
        <v>1867</v>
      </c>
      <c r="C1808" s="12">
        <v>823</v>
      </c>
      <c r="D1808" s="12">
        <v>8</v>
      </c>
    </row>
    <row r="1809" spans="1:4" x14ac:dyDescent="0.3">
      <c r="A1809" s="12" t="s">
        <v>71</v>
      </c>
      <c r="B1809" s="12" t="s">
        <v>1868</v>
      </c>
      <c r="C1809" s="12">
        <v>965</v>
      </c>
      <c r="D1809" s="12">
        <v>10</v>
      </c>
    </row>
    <row r="1810" spans="1:4" x14ac:dyDescent="0.3">
      <c r="A1810" s="12" t="s">
        <v>71</v>
      </c>
      <c r="B1810" s="12" t="s">
        <v>1869</v>
      </c>
      <c r="C1810" s="12">
        <v>2375</v>
      </c>
      <c r="D1810" s="12">
        <v>24</v>
      </c>
    </row>
    <row r="1811" spans="1:4" x14ac:dyDescent="0.3">
      <c r="A1811" s="12" t="s">
        <v>71</v>
      </c>
      <c r="B1811" s="12" t="s">
        <v>1870</v>
      </c>
      <c r="C1811" s="12">
        <v>1186</v>
      </c>
      <c r="D1811" s="12">
        <v>12</v>
      </c>
    </row>
    <row r="1812" spans="1:4" x14ac:dyDescent="0.3">
      <c r="A1812" s="12" t="s">
        <v>71</v>
      </c>
      <c r="B1812" s="12" t="s">
        <v>1871</v>
      </c>
      <c r="C1812" s="12">
        <v>905</v>
      </c>
      <c r="D1812" s="12">
        <v>9</v>
      </c>
    </row>
    <row r="1813" spans="1:4" x14ac:dyDescent="0.3">
      <c r="A1813" s="12" t="s">
        <v>71</v>
      </c>
      <c r="B1813" s="12" t="s">
        <v>1872</v>
      </c>
      <c r="C1813" s="12">
        <v>599</v>
      </c>
      <c r="D1813" s="12">
        <v>6</v>
      </c>
    </row>
    <row r="1814" spans="1:4" x14ac:dyDescent="0.3">
      <c r="A1814" s="12" t="s">
        <v>71</v>
      </c>
      <c r="B1814" s="12" t="s">
        <v>1873</v>
      </c>
      <c r="C1814" s="12">
        <v>1391</v>
      </c>
      <c r="D1814" s="12">
        <v>14</v>
      </c>
    </row>
    <row r="1815" spans="1:4" x14ac:dyDescent="0.3">
      <c r="A1815" s="12" t="s">
        <v>71</v>
      </c>
      <c r="B1815" s="12" t="s">
        <v>1874</v>
      </c>
      <c r="C1815" s="12">
        <v>1759</v>
      </c>
      <c r="D1815" s="12">
        <v>18</v>
      </c>
    </row>
    <row r="1816" spans="1:4" x14ac:dyDescent="0.3">
      <c r="A1816" s="12" t="s">
        <v>71</v>
      </c>
      <c r="B1816" s="12" t="s">
        <v>1875</v>
      </c>
      <c r="C1816" s="12">
        <v>2098</v>
      </c>
      <c r="D1816" s="12">
        <v>21</v>
      </c>
    </row>
    <row r="1817" spans="1:4" x14ac:dyDescent="0.3">
      <c r="A1817" s="12" t="s">
        <v>71</v>
      </c>
      <c r="B1817" s="12" t="s">
        <v>1876</v>
      </c>
      <c r="C1817" s="12">
        <v>1076</v>
      </c>
      <c r="D1817" s="12">
        <v>11</v>
      </c>
    </row>
    <row r="1818" spans="1:4" x14ac:dyDescent="0.3">
      <c r="A1818" s="12" t="s">
        <v>71</v>
      </c>
      <c r="B1818" s="12" t="s">
        <v>1877</v>
      </c>
      <c r="C1818" s="12">
        <v>1734</v>
      </c>
      <c r="D1818" s="12">
        <v>17</v>
      </c>
    </row>
    <row r="1819" spans="1:4" x14ac:dyDescent="0.3">
      <c r="A1819" s="12" t="s">
        <v>71</v>
      </c>
      <c r="B1819" s="12" t="s">
        <v>1878</v>
      </c>
      <c r="C1819" s="12">
        <v>1487</v>
      </c>
      <c r="D1819" s="12">
        <v>15</v>
      </c>
    </row>
    <row r="1820" spans="1:4" x14ac:dyDescent="0.3">
      <c r="A1820" s="12" t="s">
        <v>71</v>
      </c>
      <c r="B1820" s="12" t="s">
        <v>1879</v>
      </c>
      <c r="C1820" s="12">
        <v>1999</v>
      </c>
      <c r="D1820" s="12">
        <v>20</v>
      </c>
    </row>
    <row r="1821" spans="1:4" x14ac:dyDescent="0.3">
      <c r="A1821" s="12" t="s">
        <v>71</v>
      </c>
      <c r="B1821" s="12" t="s">
        <v>1880</v>
      </c>
      <c r="C1821" s="12">
        <v>1570</v>
      </c>
      <c r="D1821" s="12">
        <v>16</v>
      </c>
    </row>
    <row r="1822" spans="1:4" x14ac:dyDescent="0.3">
      <c r="A1822" s="12" t="s">
        <v>71</v>
      </c>
      <c r="B1822" s="12" t="s">
        <v>1881</v>
      </c>
      <c r="C1822" s="12">
        <v>1465</v>
      </c>
      <c r="D1822" s="12">
        <v>15</v>
      </c>
    </row>
    <row r="1823" spans="1:4" x14ac:dyDescent="0.3">
      <c r="A1823" s="12" t="s">
        <v>71</v>
      </c>
      <c r="B1823" s="12" t="s">
        <v>1882</v>
      </c>
      <c r="C1823" s="12">
        <v>780</v>
      </c>
      <c r="D1823" s="12">
        <v>8</v>
      </c>
    </row>
    <row r="1824" spans="1:4" ht="28.8" x14ac:dyDescent="0.3">
      <c r="A1824" s="12" t="s">
        <v>72</v>
      </c>
      <c r="B1824" s="12" t="s">
        <v>1883</v>
      </c>
      <c r="C1824" s="12">
        <v>238</v>
      </c>
      <c r="D1824" s="12">
        <v>2</v>
      </c>
    </row>
    <row r="1825" spans="1:4" ht="43.2" x14ac:dyDescent="0.3">
      <c r="A1825" s="12" t="s">
        <v>72</v>
      </c>
      <c r="B1825" s="12" t="s">
        <v>1884</v>
      </c>
      <c r="C1825" s="12">
        <v>208</v>
      </c>
      <c r="D1825" s="12">
        <v>2</v>
      </c>
    </row>
    <row r="1826" spans="1:4" ht="28.8" x14ac:dyDescent="0.3">
      <c r="A1826" s="12" t="s">
        <v>72</v>
      </c>
      <c r="B1826" s="12" t="s">
        <v>1885</v>
      </c>
      <c r="C1826" s="12">
        <v>211</v>
      </c>
      <c r="D1826" s="12">
        <v>2</v>
      </c>
    </row>
    <row r="1827" spans="1:4" ht="43.2" x14ac:dyDescent="0.3">
      <c r="A1827" s="12" t="s">
        <v>72</v>
      </c>
      <c r="B1827" s="12" t="s">
        <v>1886</v>
      </c>
      <c r="C1827" s="12">
        <v>1010</v>
      </c>
      <c r="D1827" s="12">
        <v>10</v>
      </c>
    </row>
    <row r="1828" spans="1:4" ht="28.8" x14ac:dyDescent="0.3">
      <c r="A1828" s="12" t="s">
        <v>72</v>
      </c>
      <c r="B1828" s="12" t="s">
        <v>1887</v>
      </c>
      <c r="C1828" s="12">
        <v>1256</v>
      </c>
      <c r="D1828" s="12">
        <v>13</v>
      </c>
    </row>
    <row r="1829" spans="1:4" ht="28.8" x14ac:dyDescent="0.3">
      <c r="A1829" s="12" t="s">
        <v>72</v>
      </c>
      <c r="B1829" s="12" t="s">
        <v>1888</v>
      </c>
      <c r="C1829" s="12">
        <v>298</v>
      </c>
      <c r="D1829" s="12">
        <v>3</v>
      </c>
    </row>
    <row r="1830" spans="1:4" ht="28.8" x14ac:dyDescent="0.3">
      <c r="A1830" s="12" t="s">
        <v>72</v>
      </c>
      <c r="B1830" s="12" t="s">
        <v>1889</v>
      </c>
      <c r="C1830" s="12">
        <v>431</v>
      </c>
      <c r="D1830" s="12">
        <v>4</v>
      </c>
    </row>
    <row r="1831" spans="1:4" x14ac:dyDescent="0.3">
      <c r="A1831" s="12" t="s">
        <v>72</v>
      </c>
      <c r="B1831" s="12" t="s">
        <v>1890</v>
      </c>
      <c r="C1831" s="12">
        <v>57</v>
      </c>
      <c r="D1831" s="12">
        <v>1</v>
      </c>
    </row>
    <row r="1832" spans="1:4" ht="43.2" x14ac:dyDescent="0.3">
      <c r="A1832" s="12" t="s">
        <v>72</v>
      </c>
      <c r="B1832" s="12" t="s">
        <v>1891</v>
      </c>
      <c r="C1832" s="12">
        <v>149</v>
      </c>
      <c r="D1832" s="12">
        <v>1</v>
      </c>
    </row>
    <row r="1833" spans="1:4" ht="43.2" x14ac:dyDescent="0.3">
      <c r="A1833" s="12" t="s">
        <v>72</v>
      </c>
      <c r="B1833" s="12" t="s">
        <v>1892</v>
      </c>
      <c r="C1833" s="12">
        <v>181</v>
      </c>
      <c r="D1833" s="12">
        <v>2</v>
      </c>
    </row>
    <row r="1834" spans="1:4" ht="43.2" x14ac:dyDescent="0.3">
      <c r="A1834" s="12" t="s">
        <v>72</v>
      </c>
      <c r="B1834" s="12" t="s">
        <v>1893</v>
      </c>
      <c r="C1834" s="12">
        <v>89</v>
      </c>
      <c r="D1834" s="12">
        <v>1</v>
      </c>
    </row>
    <row r="1835" spans="1:4" ht="43.2" x14ac:dyDescent="0.3">
      <c r="A1835" s="12" t="s">
        <v>72</v>
      </c>
      <c r="B1835" s="12" t="s">
        <v>1894</v>
      </c>
      <c r="C1835" s="12">
        <v>170</v>
      </c>
      <c r="D1835" s="12">
        <v>2</v>
      </c>
    </row>
    <row r="1836" spans="1:4" ht="43.2" x14ac:dyDescent="0.3">
      <c r="A1836" s="12" t="s">
        <v>72</v>
      </c>
      <c r="B1836" s="12" t="s">
        <v>1895</v>
      </c>
      <c r="C1836" s="12">
        <v>89</v>
      </c>
      <c r="D1836" s="12">
        <v>1</v>
      </c>
    </row>
    <row r="1837" spans="1:4" ht="43.2" x14ac:dyDescent="0.3">
      <c r="A1837" s="12" t="s">
        <v>72</v>
      </c>
      <c r="B1837" s="12" t="s">
        <v>1896</v>
      </c>
      <c r="C1837" s="12">
        <v>115</v>
      </c>
      <c r="D1837" s="12">
        <v>1</v>
      </c>
    </row>
    <row r="1838" spans="1:4" ht="28.8" x14ac:dyDescent="0.3">
      <c r="A1838" s="12" t="s">
        <v>72</v>
      </c>
      <c r="B1838" s="12" t="s">
        <v>1897</v>
      </c>
      <c r="C1838" s="12">
        <v>736</v>
      </c>
      <c r="D1838" s="12">
        <v>7</v>
      </c>
    </row>
    <row r="1839" spans="1:4" ht="43.2" x14ac:dyDescent="0.3">
      <c r="A1839" s="12" t="s">
        <v>72</v>
      </c>
      <c r="B1839" s="12" t="s">
        <v>1898</v>
      </c>
      <c r="C1839" s="12">
        <v>454</v>
      </c>
      <c r="D1839" s="12">
        <v>5</v>
      </c>
    </row>
    <row r="1840" spans="1:4" x14ac:dyDescent="0.3">
      <c r="A1840" s="12" t="s">
        <v>72</v>
      </c>
      <c r="B1840" s="12" t="s">
        <v>1899</v>
      </c>
      <c r="C1840" s="12">
        <v>112</v>
      </c>
      <c r="D1840" s="12">
        <v>1</v>
      </c>
    </row>
    <row r="1841" spans="1:4" ht="43.2" x14ac:dyDescent="0.3">
      <c r="A1841" s="12" t="s">
        <v>72</v>
      </c>
      <c r="B1841" s="12" t="s">
        <v>1900</v>
      </c>
      <c r="C1841" s="12">
        <v>290</v>
      </c>
      <c r="D1841" s="12">
        <v>3</v>
      </c>
    </row>
    <row r="1842" spans="1:4" x14ac:dyDescent="0.3">
      <c r="A1842" s="12" t="s">
        <v>73</v>
      </c>
      <c r="B1842" s="12" t="s">
        <v>1901</v>
      </c>
      <c r="C1842" s="12">
        <v>591</v>
      </c>
      <c r="D1842" s="12">
        <v>6</v>
      </c>
    </row>
    <row r="1843" spans="1:4" x14ac:dyDescent="0.3">
      <c r="A1843" s="12" t="s">
        <v>73</v>
      </c>
      <c r="B1843" s="12" t="s">
        <v>1902</v>
      </c>
      <c r="C1843" s="12">
        <v>1838</v>
      </c>
      <c r="D1843" s="12">
        <v>18</v>
      </c>
    </row>
    <row r="1844" spans="1:4" x14ac:dyDescent="0.3">
      <c r="A1844" s="12" t="s">
        <v>73</v>
      </c>
      <c r="B1844" s="12" t="s">
        <v>1903</v>
      </c>
      <c r="C1844" s="12">
        <v>315</v>
      </c>
      <c r="D1844" s="12">
        <v>3</v>
      </c>
    </row>
    <row r="1845" spans="1:4" x14ac:dyDescent="0.3">
      <c r="A1845" s="12" t="s">
        <v>73</v>
      </c>
      <c r="B1845" s="12" t="s">
        <v>1904</v>
      </c>
      <c r="C1845" s="12">
        <v>806</v>
      </c>
      <c r="D1845" s="12">
        <v>8</v>
      </c>
    </row>
    <row r="1846" spans="1:4" x14ac:dyDescent="0.3">
      <c r="A1846" s="12" t="s">
        <v>73</v>
      </c>
      <c r="B1846" s="12" t="s">
        <v>1905</v>
      </c>
      <c r="C1846" s="12">
        <v>2660</v>
      </c>
      <c r="D1846" s="12">
        <v>27</v>
      </c>
    </row>
    <row r="1847" spans="1:4" x14ac:dyDescent="0.3">
      <c r="A1847" s="12" t="s">
        <v>73</v>
      </c>
      <c r="B1847" s="12" t="s">
        <v>1906</v>
      </c>
      <c r="C1847" s="12">
        <v>520</v>
      </c>
      <c r="D1847" s="12">
        <v>5</v>
      </c>
    </row>
    <row r="1848" spans="1:4" x14ac:dyDescent="0.3">
      <c r="A1848" s="12" t="s">
        <v>73</v>
      </c>
      <c r="B1848" s="12" t="s">
        <v>1907</v>
      </c>
      <c r="C1848" s="12">
        <v>696</v>
      </c>
      <c r="D1848" s="12">
        <v>7</v>
      </c>
    </row>
    <row r="1849" spans="1:4" x14ac:dyDescent="0.3">
      <c r="A1849" s="12" t="s">
        <v>73</v>
      </c>
      <c r="B1849" s="12" t="s">
        <v>1908</v>
      </c>
      <c r="C1849" s="12">
        <v>1118</v>
      </c>
      <c r="D1849" s="12">
        <v>11</v>
      </c>
    </row>
    <row r="1850" spans="1:4" x14ac:dyDescent="0.3">
      <c r="A1850" s="12" t="s">
        <v>73</v>
      </c>
      <c r="B1850" s="12" t="s">
        <v>1909</v>
      </c>
      <c r="C1850" s="12">
        <v>358</v>
      </c>
      <c r="D1850" s="12">
        <v>4</v>
      </c>
    </row>
    <row r="1851" spans="1:4" x14ac:dyDescent="0.3">
      <c r="A1851" s="12" t="s">
        <v>73</v>
      </c>
      <c r="B1851" s="12" t="s">
        <v>1910</v>
      </c>
      <c r="C1851" s="12">
        <v>343</v>
      </c>
      <c r="D1851" s="12">
        <v>3</v>
      </c>
    </row>
    <row r="1852" spans="1:4" x14ac:dyDescent="0.3">
      <c r="A1852" s="12" t="s">
        <v>73</v>
      </c>
      <c r="B1852" s="12" t="s">
        <v>1911</v>
      </c>
      <c r="C1852" s="12">
        <v>385</v>
      </c>
      <c r="D1852" s="12">
        <v>4</v>
      </c>
    </row>
    <row r="1853" spans="1:4" x14ac:dyDescent="0.3">
      <c r="A1853" s="12" t="s">
        <v>73</v>
      </c>
      <c r="B1853" s="12" t="s">
        <v>1912</v>
      </c>
      <c r="C1853" s="12">
        <v>786</v>
      </c>
      <c r="D1853" s="12">
        <v>8</v>
      </c>
    </row>
    <row r="1854" spans="1:4" x14ac:dyDescent="0.3">
      <c r="A1854" s="12" t="s">
        <v>73</v>
      </c>
      <c r="B1854" s="12" t="s">
        <v>1913</v>
      </c>
      <c r="C1854" s="12">
        <v>201</v>
      </c>
      <c r="D1854" s="12">
        <v>2</v>
      </c>
    </row>
    <row r="1855" spans="1:4" x14ac:dyDescent="0.3">
      <c r="A1855" s="12" t="s">
        <v>73</v>
      </c>
      <c r="B1855" s="12" t="s">
        <v>1914</v>
      </c>
      <c r="C1855" s="12">
        <v>202</v>
      </c>
      <c r="D1855" s="12">
        <v>2</v>
      </c>
    </row>
    <row r="1856" spans="1:4" x14ac:dyDescent="0.3">
      <c r="A1856" s="12" t="s">
        <v>73</v>
      </c>
      <c r="B1856" s="12" t="s">
        <v>1915</v>
      </c>
      <c r="C1856" s="12">
        <v>835</v>
      </c>
      <c r="D1856" s="12">
        <v>8</v>
      </c>
    </row>
    <row r="1857" spans="1:4" x14ac:dyDescent="0.3">
      <c r="A1857" s="12" t="s">
        <v>73</v>
      </c>
      <c r="B1857" s="12" t="s">
        <v>1916</v>
      </c>
      <c r="C1857" s="12">
        <v>1110</v>
      </c>
      <c r="D1857" s="12">
        <v>11</v>
      </c>
    </row>
    <row r="1858" spans="1:4" x14ac:dyDescent="0.3">
      <c r="A1858" s="12" t="s">
        <v>73</v>
      </c>
      <c r="B1858" s="12" t="s">
        <v>1917</v>
      </c>
      <c r="C1858" s="12">
        <v>114</v>
      </c>
      <c r="D1858" s="12">
        <v>1</v>
      </c>
    </row>
    <row r="1859" spans="1:4" x14ac:dyDescent="0.3">
      <c r="A1859" s="12" t="s">
        <v>73</v>
      </c>
      <c r="B1859" s="12" t="s">
        <v>1918</v>
      </c>
      <c r="C1859" s="12">
        <v>736</v>
      </c>
      <c r="D1859" s="12">
        <v>7</v>
      </c>
    </row>
    <row r="1860" spans="1:4" x14ac:dyDescent="0.3">
      <c r="A1860" s="12" t="s">
        <v>73</v>
      </c>
      <c r="B1860" s="12" t="s">
        <v>1919</v>
      </c>
      <c r="C1860" s="12">
        <v>952</v>
      </c>
      <c r="D1860" s="12">
        <v>10</v>
      </c>
    </row>
    <row r="1861" spans="1:4" x14ac:dyDescent="0.3">
      <c r="A1861" s="12" t="s">
        <v>73</v>
      </c>
      <c r="B1861" s="12" t="s">
        <v>1920</v>
      </c>
      <c r="C1861" s="12">
        <v>555</v>
      </c>
      <c r="D1861" s="12">
        <v>6</v>
      </c>
    </row>
    <row r="1862" spans="1:4" x14ac:dyDescent="0.3">
      <c r="A1862" s="12" t="s">
        <v>73</v>
      </c>
      <c r="B1862" s="12" t="s">
        <v>1921</v>
      </c>
      <c r="C1862" s="12">
        <v>872</v>
      </c>
      <c r="D1862" s="12">
        <v>9</v>
      </c>
    </row>
    <row r="1863" spans="1:4" x14ac:dyDescent="0.3">
      <c r="A1863" s="12" t="s">
        <v>73</v>
      </c>
      <c r="B1863" s="12" t="s">
        <v>1922</v>
      </c>
      <c r="C1863" s="12">
        <v>650</v>
      </c>
      <c r="D1863" s="12">
        <v>6</v>
      </c>
    </row>
    <row r="1864" spans="1:4" x14ac:dyDescent="0.3">
      <c r="A1864" s="12" t="s">
        <v>73</v>
      </c>
      <c r="B1864" s="12" t="s">
        <v>1923</v>
      </c>
      <c r="C1864" s="12">
        <v>259</v>
      </c>
      <c r="D1864" s="12">
        <v>3</v>
      </c>
    </row>
    <row r="1865" spans="1:4" x14ac:dyDescent="0.3">
      <c r="A1865" s="12" t="s">
        <v>73</v>
      </c>
      <c r="B1865" s="12" t="s">
        <v>1924</v>
      </c>
      <c r="C1865" s="12">
        <v>1088</v>
      </c>
      <c r="D1865" s="12">
        <v>11</v>
      </c>
    </row>
    <row r="1866" spans="1:4" ht="28.8" x14ac:dyDescent="0.3">
      <c r="A1866" s="12" t="s">
        <v>74</v>
      </c>
      <c r="B1866" s="12" t="s">
        <v>1925</v>
      </c>
      <c r="C1866" s="12">
        <v>667</v>
      </c>
      <c r="D1866" s="12">
        <v>7</v>
      </c>
    </row>
    <row r="1867" spans="1:4" ht="43.2" x14ac:dyDescent="0.3">
      <c r="A1867" s="12" t="s">
        <v>74</v>
      </c>
      <c r="B1867" s="12" t="s">
        <v>1926</v>
      </c>
      <c r="C1867" s="12">
        <v>1294</v>
      </c>
      <c r="D1867" s="12">
        <v>13</v>
      </c>
    </row>
    <row r="1868" spans="1:4" ht="43.2" x14ac:dyDescent="0.3">
      <c r="A1868" s="12" t="s">
        <v>74</v>
      </c>
      <c r="B1868" s="12" t="s">
        <v>1927</v>
      </c>
      <c r="C1868" s="12">
        <v>861</v>
      </c>
      <c r="D1868" s="12">
        <v>9</v>
      </c>
    </row>
    <row r="1869" spans="1:4" ht="43.2" x14ac:dyDescent="0.3">
      <c r="A1869" s="12" t="s">
        <v>74</v>
      </c>
      <c r="B1869" s="12" t="s">
        <v>1928</v>
      </c>
      <c r="C1869" s="12">
        <v>1500</v>
      </c>
      <c r="D1869" s="12">
        <v>15</v>
      </c>
    </row>
    <row r="1870" spans="1:4" x14ac:dyDescent="0.3">
      <c r="A1870" s="12" t="s">
        <v>74</v>
      </c>
      <c r="B1870" s="12" t="s">
        <v>1929</v>
      </c>
      <c r="C1870" s="12">
        <v>415</v>
      </c>
      <c r="D1870" s="12">
        <v>4</v>
      </c>
    </row>
    <row r="1871" spans="1:4" ht="43.2" x14ac:dyDescent="0.3">
      <c r="A1871" s="12" t="s">
        <v>74</v>
      </c>
      <c r="B1871" s="12" t="s">
        <v>1930</v>
      </c>
      <c r="C1871" s="12">
        <v>1188</v>
      </c>
      <c r="D1871" s="12">
        <v>12</v>
      </c>
    </row>
    <row r="1872" spans="1:4" ht="28.8" x14ac:dyDescent="0.3">
      <c r="A1872" s="12" t="s">
        <v>74</v>
      </c>
      <c r="B1872" s="12" t="s">
        <v>1931</v>
      </c>
      <c r="C1872" s="12">
        <v>1426</v>
      </c>
      <c r="D1872" s="12">
        <v>14</v>
      </c>
    </row>
    <row r="1873" spans="1:4" ht="28.8" x14ac:dyDescent="0.3">
      <c r="A1873" s="12" t="s">
        <v>74</v>
      </c>
      <c r="B1873" s="12" t="s">
        <v>1932</v>
      </c>
      <c r="C1873" s="12">
        <v>616</v>
      </c>
      <c r="D1873" s="12">
        <v>6</v>
      </c>
    </row>
    <row r="1874" spans="1:4" x14ac:dyDescent="0.3">
      <c r="A1874" s="12" t="s">
        <v>74</v>
      </c>
      <c r="B1874" s="12" t="s">
        <v>1933</v>
      </c>
      <c r="C1874" s="12">
        <v>2088</v>
      </c>
      <c r="D1874" s="12">
        <v>21</v>
      </c>
    </row>
    <row r="1875" spans="1:4" ht="28.8" x14ac:dyDescent="0.3">
      <c r="A1875" s="12" t="s">
        <v>74</v>
      </c>
      <c r="B1875" s="12" t="s">
        <v>1934</v>
      </c>
      <c r="C1875" s="12">
        <v>914</v>
      </c>
      <c r="D1875" s="12">
        <v>9</v>
      </c>
    </row>
    <row r="1876" spans="1:4" ht="28.8" x14ac:dyDescent="0.3">
      <c r="A1876" s="12" t="s">
        <v>74</v>
      </c>
      <c r="B1876" s="12" t="s">
        <v>1935</v>
      </c>
      <c r="C1876" s="12">
        <v>889</v>
      </c>
      <c r="D1876" s="12">
        <v>9</v>
      </c>
    </row>
    <row r="1877" spans="1:4" ht="57.6" x14ac:dyDescent="0.3">
      <c r="A1877" s="12" t="s">
        <v>74</v>
      </c>
      <c r="B1877" s="12" t="s">
        <v>1936</v>
      </c>
      <c r="C1877" s="12">
        <v>1848</v>
      </c>
      <c r="D1877" s="12">
        <v>18</v>
      </c>
    </row>
    <row r="1878" spans="1:4" ht="43.2" x14ac:dyDescent="0.3">
      <c r="A1878" s="12" t="s">
        <v>74</v>
      </c>
      <c r="B1878" s="12" t="s">
        <v>1937</v>
      </c>
      <c r="C1878" s="12">
        <v>1448</v>
      </c>
      <c r="D1878" s="12">
        <v>14</v>
      </c>
    </row>
    <row r="1879" spans="1:4" ht="43.2" x14ac:dyDescent="0.3">
      <c r="A1879" s="12" t="s">
        <v>74</v>
      </c>
      <c r="B1879" s="12" t="s">
        <v>1938</v>
      </c>
      <c r="C1879" s="12">
        <v>1683</v>
      </c>
      <c r="D1879" s="12">
        <v>17</v>
      </c>
    </row>
    <row r="1880" spans="1:4" ht="57.6" x14ac:dyDescent="0.3">
      <c r="A1880" s="12" t="s">
        <v>74</v>
      </c>
      <c r="B1880" s="12" t="s">
        <v>1939</v>
      </c>
      <c r="C1880" s="12">
        <v>2087</v>
      </c>
      <c r="D1880" s="12">
        <v>21</v>
      </c>
    </row>
    <row r="1881" spans="1:4" ht="43.2" x14ac:dyDescent="0.3">
      <c r="A1881" s="12" t="s">
        <v>74</v>
      </c>
      <c r="B1881" s="12" t="s">
        <v>1537</v>
      </c>
      <c r="C1881" s="12">
        <v>1543</v>
      </c>
      <c r="D1881" s="12">
        <v>15</v>
      </c>
    </row>
    <row r="1882" spans="1:4" ht="28.8" x14ac:dyDescent="0.3">
      <c r="A1882" s="12" t="s">
        <v>74</v>
      </c>
      <c r="B1882" s="12" t="s">
        <v>1940</v>
      </c>
      <c r="C1882" s="12">
        <v>1116</v>
      </c>
      <c r="D1882" s="12">
        <v>11</v>
      </c>
    </row>
    <row r="1883" spans="1:4" x14ac:dyDescent="0.3">
      <c r="A1883" s="12" t="s">
        <v>74</v>
      </c>
      <c r="B1883" s="12" t="s">
        <v>1941</v>
      </c>
      <c r="C1883" s="12">
        <v>808</v>
      </c>
      <c r="D1883" s="12">
        <v>8</v>
      </c>
    </row>
    <row r="1884" spans="1:4" x14ac:dyDescent="0.3">
      <c r="A1884" s="12" t="s">
        <v>74</v>
      </c>
      <c r="B1884" s="12" t="s">
        <v>1942</v>
      </c>
      <c r="C1884" s="12">
        <v>991</v>
      </c>
      <c r="D1884" s="12">
        <v>10</v>
      </c>
    </row>
    <row r="1885" spans="1:4" ht="28.8" x14ac:dyDescent="0.3">
      <c r="A1885" s="12" t="s">
        <v>74</v>
      </c>
      <c r="B1885" s="12" t="s">
        <v>1943</v>
      </c>
      <c r="C1885" s="12">
        <v>1578</v>
      </c>
      <c r="D1885" s="12">
        <v>16</v>
      </c>
    </row>
    <row r="1886" spans="1:4" ht="43.2" x14ac:dyDescent="0.3">
      <c r="A1886" s="12" t="s">
        <v>74</v>
      </c>
      <c r="B1886" s="12" t="s">
        <v>1574</v>
      </c>
      <c r="C1886" s="12">
        <v>1449</v>
      </c>
      <c r="D1886" s="12">
        <v>14</v>
      </c>
    </row>
    <row r="1887" spans="1:4" ht="28.8" x14ac:dyDescent="0.3">
      <c r="A1887" s="12" t="s">
        <v>74</v>
      </c>
      <c r="B1887" s="12" t="s">
        <v>1944</v>
      </c>
      <c r="C1887" s="12">
        <v>1877</v>
      </c>
      <c r="D1887" s="12">
        <v>19</v>
      </c>
    </row>
    <row r="1888" spans="1:4" ht="43.2" x14ac:dyDescent="0.3">
      <c r="A1888" s="12" t="s">
        <v>74</v>
      </c>
      <c r="B1888" s="12" t="s">
        <v>1945</v>
      </c>
      <c r="C1888" s="12">
        <v>1435</v>
      </c>
      <c r="D1888" s="12">
        <v>14</v>
      </c>
    </row>
    <row r="1889" spans="1:4" ht="43.2" x14ac:dyDescent="0.3">
      <c r="A1889" s="12" t="s">
        <v>74</v>
      </c>
      <c r="B1889" s="12" t="s">
        <v>1946</v>
      </c>
      <c r="C1889" s="12">
        <v>709</v>
      </c>
      <c r="D1889" s="12">
        <v>7</v>
      </c>
    </row>
    <row r="1890" spans="1:4" ht="28.8" x14ac:dyDescent="0.3">
      <c r="A1890" s="12" t="s">
        <v>74</v>
      </c>
      <c r="B1890" s="12" t="s">
        <v>1947</v>
      </c>
      <c r="C1890" s="12">
        <v>2468</v>
      </c>
      <c r="D1890" s="12">
        <v>25</v>
      </c>
    </row>
    <row r="1891" spans="1:4" ht="28.8" x14ac:dyDescent="0.3">
      <c r="A1891" s="12" t="s">
        <v>74</v>
      </c>
      <c r="B1891" s="12" t="s">
        <v>1948</v>
      </c>
      <c r="C1891" s="12">
        <v>1404</v>
      </c>
      <c r="D1891" s="12">
        <v>14</v>
      </c>
    </row>
    <row r="1892" spans="1:4" ht="28.8" x14ac:dyDescent="0.3">
      <c r="A1892" s="12" t="s">
        <v>74</v>
      </c>
      <c r="B1892" s="12" t="s">
        <v>1949</v>
      </c>
      <c r="C1892" s="12">
        <v>1441</v>
      </c>
      <c r="D1892" s="12">
        <v>14</v>
      </c>
    </row>
    <row r="1893" spans="1:4" ht="28.8" x14ac:dyDescent="0.3">
      <c r="A1893" s="12" t="s">
        <v>74</v>
      </c>
      <c r="B1893" s="12" t="s">
        <v>1950</v>
      </c>
      <c r="C1893" s="12">
        <v>1771</v>
      </c>
      <c r="D1893" s="12">
        <v>18</v>
      </c>
    </row>
    <row r="1894" spans="1:4" ht="28.8" x14ac:dyDescent="0.3">
      <c r="A1894" s="12" t="s">
        <v>74</v>
      </c>
      <c r="B1894" s="12" t="s">
        <v>1951</v>
      </c>
      <c r="C1894" s="12">
        <v>1840</v>
      </c>
      <c r="D1894" s="12">
        <v>18</v>
      </c>
    </row>
    <row r="1895" spans="1:4" ht="43.2" x14ac:dyDescent="0.3">
      <c r="A1895" s="12" t="s">
        <v>74</v>
      </c>
      <c r="B1895" s="12" t="s">
        <v>1952</v>
      </c>
      <c r="C1895" s="12">
        <v>1801</v>
      </c>
      <c r="D1895" s="12">
        <v>18</v>
      </c>
    </row>
    <row r="1896" spans="1:4" ht="43.2" x14ac:dyDescent="0.3">
      <c r="A1896" s="12" t="s">
        <v>74</v>
      </c>
      <c r="B1896" s="12" t="s">
        <v>1953</v>
      </c>
      <c r="C1896" s="12">
        <v>1900</v>
      </c>
      <c r="D1896" s="12">
        <v>19</v>
      </c>
    </row>
    <row r="1897" spans="1:4" ht="43.2" x14ac:dyDescent="0.3">
      <c r="A1897" s="12" t="s">
        <v>74</v>
      </c>
      <c r="B1897" s="12" t="s">
        <v>1954</v>
      </c>
      <c r="C1897" s="12">
        <v>1797</v>
      </c>
      <c r="D1897" s="12">
        <v>18</v>
      </c>
    </row>
    <row r="1898" spans="1:4" x14ac:dyDescent="0.3">
      <c r="A1898" s="12" t="s">
        <v>74</v>
      </c>
      <c r="B1898" s="12" t="s">
        <v>1955</v>
      </c>
      <c r="C1898" s="12">
        <v>1769</v>
      </c>
      <c r="D1898" s="12">
        <v>18</v>
      </c>
    </row>
    <row r="1899" spans="1:4" ht="43.2" x14ac:dyDescent="0.3">
      <c r="A1899" s="12" t="s">
        <v>74</v>
      </c>
      <c r="B1899" s="12" t="s">
        <v>132</v>
      </c>
      <c r="C1899" s="12">
        <v>2683</v>
      </c>
      <c r="D1899" s="12">
        <v>27</v>
      </c>
    </row>
    <row r="1900" spans="1:4" ht="43.2" x14ac:dyDescent="0.3">
      <c r="A1900" s="12" t="s">
        <v>74</v>
      </c>
      <c r="B1900" s="12" t="s">
        <v>1956</v>
      </c>
      <c r="C1900" s="12">
        <v>1312</v>
      </c>
      <c r="D1900" s="12">
        <v>13</v>
      </c>
    </row>
    <row r="1901" spans="1:4" ht="28.8" x14ac:dyDescent="0.3">
      <c r="A1901" s="12" t="s">
        <v>74</v>
      </c>
      <c r="B1901" s="12" t="s">
        <v>1379</v>
      </c>
      <c r="C1901" s="12">
        <v>1923</v>
      </c>
      <c r="D1901" s="12">
        <v>19</v>
      </c>
    </row>
    <row r="1902" spans="1:4" ht="28.8" x14ac:dyDescent="0.3">
      <c r="A1902" s="12" t="s">
        <v>74</v>
      </c>
      <c r="B1902" s="12" t="s">
        <v>1957</v>
      </c>
      <c r="C1902" s="12">
        <v>1135</v>
      </c>
      <c r="D1902" s="12">
        <v>11</v>
      </c>
    </row>
    <row r="1903" spans="1:4" x14ac:dyDescent="0.3">
      <c r="A1903" s="12" t="s">
        <v>74</v>
      </c>
      <c r="B1903" s="12" t="s">
        <v>1958</v>
      </c>
      <c r="C1903" s="12">
        <v>595</v>
      </c>
      <c r="D1903" s="12">
        <v>6</v>
      </c>
    </row>
    <row r="1904" spans="1:4" ht="28.8" x14ac:dyDescent="0.3">
      <c r="A1904" s="12" t="s">
        <v>74</v>
      </c>
      <c r="B1904" s="12" t="s">
        <v>1959</v>
      </c>
      <c r="C1904" s="12">
        <v>1488</v>
      </c>
      <c r="D1904" s="12">
        <v>15</v>
      </c>
    </row>
    <row r="1905" spans="1:4" ht="43.2" x14ac:dyDescent="0.3">
      <c r="A1905" s="12" t="s">
        <v>74</v>
      </c>
      <c r="B1905" s="12" t="s">
        <v>1960</v>
      </c>
      <c r="C1905" s="12">
        <v>1817</v>
      </c>
      <c r="D1905" s="12">
        <v>18</v>
      </c>
    </row>
    <row r="1906" spans="1:4" ht="57.6" x14ac:dyDescent="0.3">
      <c r="A1906" s="12" t="s">
        <v>74</v>
      </c>
      <c r="B1906" s="12" t="s">
        <v>1961</v>
      </c>
      <c r="C1906" s="12">
        <v>395</v>
      </c>
      <c r="D1906" s="12">
        <v>4</v>
      </c>
    </row>
    <row r="1907" spans="1:4" ht="43.2" x14ac:dyDescent="0.3">
      <c r="A1907" s="12" t="s">
        <v>74</v>
      </c>
      <c r="B1907" s="12" t="s">
        <v>1962</v>
      </c>
      <c r="C1907" s="12">
        <v>1448</v>
      </c>
      <c r="D1907" s="12">
        <v>14</v>
      </c>
    </row>
    <row r="1908" spans="1:4" ht="43.2" x14ac:dyDescent="0.3">
      <c r="A1908" s="12" t="s">
        <v>74</v>
      </c>
      <c r="B1908" s="12" t="s">
        <v>1963</v>
      </c>
      <c r="C1908" s="12">
        <v>1038</v>
      </c>
      <c r="D1908" s="12">
        <v>10</v>
      </c>
    </row>
    <row r="1909" spans="1:4" ht="28.8" x14ac:dyDescent="0.3">
      <c r="A1909" s="12" t="s">
        <v>74</v>
      </c>
      <c r="B1909" s="12" t="s">
        <v>1964</v>
      </c>
      <c r="C1909" s="12">
        <v>889</v>
      </c>
      <c r="D1909" s="12">
        <v>9</v>
      </c>
    </row>
    <row r="1910" spans="1:4" ht="43.2" x14ac:dyDescent="0.3">
      <c r="A1910" s="12" t="s">
        <v>75</v>
      </c>
      <c r="B1910" s="12" t="s">
        <v>1965</v>
      </c>
      <c r="C1910" s="12">
        <v>108</v>
      </c>
      <c r="D1910" s="12">
        <v>1</v>
      </c>
    </row>
    <row r="1911" spans="1:4" ht="43.2" x14ac:dyDescent="0.3">
      <c r="A1911" s="12" t="s">
        <v>75</v>
      </c>
      <c r="B1911" s="12" t="s">
        <v>1966</v>
      </c>
      <c r="C1911" s="12">
        <v>521</v>
      </c>
      <c r="D1911" s="12">
        <v>5</v>
      </c>
    </row>
    <row r="1912" spans="1:4" ht="43.2" x14ac:dyDescent="0.3">
      <c r="A1912" s="12" t="s">
        <v>75</v>
      </c>
      <c r="B1912" s="12" t="s">
        <v>1967</v>
      </c>
      <c r="C1912" s="12">
        <v>531</v>
      </c>
      <c r="D1912" s="12">
        <v>5</v>
      </c>
    </row>
    <row r="1913" spans="1:4" ht="43.2" x14ac:dyDescent="0.3">
      <c r="A1913" s="12" t="s">
        <v>75</v>
      </c>
      <c r="B1913" s="12" t="s">
        <v>1968</v>
      </c>
      <c r="C1913" s="12">
        <v>129</v>
      </c>
      <c r="D1913" s="12">
        <v>1</v>
      </c>
    </row>
    <row r="1914" spans="1:4" ht="43.2" x14ac:dyDescent="0.3">
      <c r="A1914" s="12" t="s">
        <v>75</v>
      </c>
      <c r="B1914" s="12" t="s">
        <v>1969</v>
      </c>
      <c r="C1914" s="12">
        <v>7</v>
      </c>
      <c r="D1914" s="12">
        <v>1</v>
      </c>
    </row>
    <row r="1915" spans="1:4" x14ac:dyDescent="0.3">
      <c r="A1915" s="12" t="s">
        <v>75</v>
      </c>
      <c r="B1915" s="12" t="s">
        <v>1970</v>
      </c>
      <c r="C1915" s="12">
        <v>70</v>
      </c>
      <c r="D1915" s="12">
        <v>1</v>
      </c>
    </row>
    <row r="1916" spans="1:4" ht="43.2" x14ac:dyDescent="0.3">
      <c r="A1916" s="12" t="s">
        <v>75</v>
      </c>
      <c r="B1916" s="12" t="s">
        <v>1971</v>
      </c>
      <c r="C1916" s="12">
        <v>664</v>
      </c>
      <c r="D1916" s="12">
        <v>7</v>
      </c>
    </row>
    <row r="1917" spans="1:4" ht="43.2" x14ac:dyDescent="0.3">
      <c r="A1917" s="12" t="s">
        <v>75</v>
      </c>
      <c r="B1917" s="12" t="s">
        <v>1972</v>
      </c>
      <c r="C1917" s="12">
        <v>241</v>
      </c>
      <c r="D1917" s="12">
        <v>2</v>
      </c>
    </row>
    <row r="1918" spans="1:4" ht="43.2" x14ac:dyDescent="0.3">
      <c r="A1918" s="12" t="s">
        <v>75</v>
      </c>
      <c r="B1918" s="12" t="s">
        <v>1392</v>
      </c>
      <c r="C1918" s="12">
        <v>113</v>
      </c>
      <c r="D1918" s="12">
        <v>1</v>
      </c>
    </row>
    <row r="1919" spans="1:4" ht="43.2" x14ac:dyDescent="0.3">
      <c r="A1919" s="12" t="s">
        <v>75</v>
      </c>
      <c r="B1919" s="12" t="s">
        <v>1973</v>
      </c>
      <c r="C1919" s="12">
        <v>82</v>
      </c>
      <c r="D1919" s="12">
        <v>1</v>
      </c>
    </row>
    <row r="1920" spans="1:4" ht="43.2" x14ac:dyDescent="0.3">
      <c r="A1920" s="12" t="s">
        <v>76</v>
      </c>
      <c r="B1920" s="12" t="s">
        <v>1974</v>
      </c>
      <c r="C1920" s="12">
        <v>1105</v>
      </c>
      <c r="D1920" s="12">
        <v>11</v>
      </c>
    </row>
    <row r="1921" spans="1:4" ht="28.8" x14ac:dyDescent="0.3">
      <c r="A1921" s="12" t="s">
        <v>76</v>
      </c>
      <c r="B1921" s="12" t="s">
        <v>1975</v>
      </c>
      <c r="C1921" s="12">
        <v>1319</v>
      </c>
      <c r="D1921" s="12">
        <v>13</v>
      </c>
    </row>
    <row r="1922" spans="1:4" ht="43.2" x14ac:dyDescent="0.3">
      <c r="A1922" s="12" t="s">
        <v>76</v>
      </c>
      <c r="B1922" s="12" t="s">
        <v>1976</v>
      </c>
      <c r="C1922" s="12">
        <v>602</v>
      </c>
      <c r="D1922" s="12">
        <v>6</v>
      </c>
    </row>
    <row r="1923" spans="1:4" ht="43.2" x14ac:dyDescent="0.3">
      <c r="A1923" s="12" t="s">
        <v>76</v>
      </c>
      <c r="B1923" s="12" t="s">
        <v>1977</v>
      </c>
      <c r="C1923" s="12">
        <v>896</v>
      </c>
      <c r="D1923" s="12">
        <v>9</v>
      </c>
    </row>
    <row r="1924" spans="1:4" ht="43.2" x14ac:dyDescent="0.3">
      <c r="A1924" s="12" t="s">
        <v>76</v>
      </c>
      <c r="B1924" s="12" t="s">
        <v>1978</v>
      </c>
      <c r="C1924" s="12">
        <v>859</v>
      </c>
      <c r="D1924" s="12">
        <v>9</v>
      </c>
    </row>
    <row r="1925" spans="1:4" ht="43.2" x14ac:dyDescent="0.3">
      <c r="A1925" s="12" t="s">
        <v>76</v>
      </c>
      <c r="B1925" s="12" t="s">
        <v>495</v>
      </c>
      <c r="C1925" s="12">
        <v>1092</v>
      </c>
      <c r="D1925" s="12">
        <v>11</v>
      </c>
    </row>
    <row r="1926" spans="1:4" x14ac:dyDescent="0.3">
      <c r="A1926" s="12" t="s">
        <v>76</v>
      </c>
      <c r="B1926" s="12" t="s">
        <v>387</v>
      </c>
      <c r="C1926" s="12">
        <v>244</v>
      </c>
      <c r="D1926" s="12">
        <v>2</v>
      </c>
    </row>
    <row r="1927" spans="1:4" ht="43.2" x14ac:dyDescent="0.3">
      <c r="A1927" s="12" t="s">
        <v>76</v>
      </c>
      <c r="B1927" s="12" t="s">
        <v>1979</v>
      </c>
      <c r="C1927" s="12">
        <v>1453</v>
      </c>
      <c r="D1927" s="12">
        <v>15</v>
      </c>
    </row>
    <row r="1928" spans="1:4" ht="43.2" x14ac:dyDescent="0.3">
      <c r="A1928" s="12" t="s">
        <v>76</v>
      </c>
      <c r="B1928" s="12" t="s">
        <v>1980</v>
      </c>
      <c r="C1928" s="12">
        <v>1204</v>
      </c>
      <c r="D1928" s="12">
        <v>12</v>
      </c>
    </row>
    <row r="1929" spans="1:4" ht="43.2" x14ac:dyDescent="0.3">
      <c r="A1929" s="12" t="s">
        <v>77</v>
      </c>
      <c r="B1929" s="12" t="s">
        <v>1981</v>
      </c>
      <c r="C1929" s="12">
        <v>89</v>
      </c>
      <c r="D1929" s="12">
        <v>1</v>
      </c>
    </row>
    <row r="1930" spans="1:4" ht="28.8" x14ac:dyDescent="0.3">
      <c r="A1930" s="12" t="s">
        <v>77</v>
      </c>
      <c r="B1930" s="12" t="s">
        <v>1982</v>
      </c>
      <c r="C1930" s="12">
        <v>616</v>
      </c>
      <c r="D1930" s="12">
        <v>6</v>
      </c>
    </row>
    <row r="1931" spans="1:4" ht="28.8" x14ac:dyDescent="0.3">
      <c r="A1931" s="12" t="s">
        <v>77</v>
      </c>
      <c r="B1931" s="12" t="s">
        <v>1983</v>
      </c>
      <c r="C1931" s="12">
        <v>309</v>
      </c>
      <c r="D1931" s="12">
        <v>3</v>
      </c>
    </row>
    <row r="1932" spans="1:4" ht="43.2" x14ac:dyDescent="0.3">
      <c r="A1932" s="12" t="s">
        <v>77</v>
      </c>
      <c r="B1932" s="12" t="s">
        <v>1984</v>
      </c>
      <c r="C1932" s="12">
        <v>640</v>
      </c>
      <c r="D1932" s="12">
        <v>6</v>
      </c>
    </row>
    <row r="1933" spans="1:4" x14ac:dyDescent="0.3">
      <c r="A1933" s="12" t="s">
        <v>77</v>
      </c>
      <c r="B1933" s="12" t="s">
        <v>1985</v>
      </c>
      <c r="C1933" s="12">
        <v>488</v>
      </c>
      <c r="D1933" s="12">
        <v>5</v>
      </c>
    </row>
    <row r="1934" spans="1:4" ht="28.8" x14ac:dyDescent="0.3">
      <c r="A1934" s="12" t="s">
        <v>77</v>
      </c>
      <c r="B1934" s="12" t="s">
        <v>1986</v>
      </c>
      <c r="C1934" s="12">
        <v>345</v>
      </c>
      <c r="D1934" s="12">
        <v>3</v>
      </c>
    </row>
    <row r="1935" spans="1:4" ht="28.8" x14ac:dyDescent="0.3">
      <c r="A1935" s="12" t="s">
        <v>77</v>
      </c>
      <c r="B1935" s="12" t="s">
        <v>1987</v>
      </c>
      <c r="C1935" s="12">
        <v>814</v>
      </c>
      <c r="D1935" s="12">
        <v>8</v>
      </c>
    </row>
    <row r="1936" spans="1:4" ht="28.8" x14ac:dyDescent="0.3">
      <c r="A1936" s="12" t="s">
        <v>77</v>
      </c>
      <c r="B1936" s="12" t="s">
        <v>1988</v>
      </c>
      <c r="C1936" s="12">
        <v>232</v>
      </c>
      <c r="D1936" s="12">
        <v>2</v>
      </c>
    </row>
    <row r="1937" spans="1:4" ht="43.2" x14ac:dyDescent="0.3">
      <c r="A1937" s="12" t="s">
        <v>77</v>
      </c>
      <c r="B1937" s="12" t="s">
        <v>1989</v>
      </c>
      <c r="C1937" s="12">
        <v>57</v>
      </c>
      <c r="D1937" s="12">
        <v>1</v>
      </c>
    </row>
    <row r="1938" spans="1:4" ht="43.2" x14ac:dyDescent="0.3">
      <c r="A1938" s="12" t="s">
        <v>77</v>
      </c>
      <c r="B1938" s="12" t="s">
        <v>1990</v>
      </c>
      <c r="C1938" s="12">
        <v>797</v>
      </c>
      <c r="D1938" s="12">
        <v>8</v>
      </c>
    </row>
    <row r="1939" spans="1:4" ht="28.8" x14ac:dyDescent="0.3">
      <c r="A1939" s="12" t="s">
        <v>77</v>
      </c>
      <c r="B1939" s="12" t="s">
        <v>1991</v>
      </c>
      <c r="C1939" s="12">
        <v>527</v>
      </c>
      <c r="D1939" s="12">
        <v>5</v>
      </c>
    </row>
    <row r="1940" spans="1:4" ht="43.2" x14ac:dyDescent="0.3">
      <c r="A1940" s="12" t="s">
        <v>77</v>
      </c>
      <c r="B1940" s="12" t="s">
        <v>1992</v>
      </c>
      <c r="C1940" s="12">
        <v>71</v>
      </c>
      <c r="D1940" s="12">
        <v>1</v>
      </c>
    </row>
    <row r="1941" spans="1:4" ht="28.8" x14ac:dyDescent="0.3">
      <c r="A1941" s="12" t="s">
        <v>77</v>
      </c>
      <c r="B1941" s="12" t="s">
        <v>1993</v>
      </c>
      <c r="C1941" s="12">
        <v>591</v>
      </c>
      <c r="D1941" s="12">
        <v>6</v>
      </c>
    </row>
    <row r="1942" spans="1:4" ht="28.8" x14ac:dyDescent="0.3">
      <c r="A1942" s="12" t="s">
        <v>77</v>
      </c>
      <c r="B1942" s="12" t="s">
        <v>1994</v>
      </c>
      <c r="C1942" s="12">
        <v>407</v>
      </c>
      <c r="D1942" s="12">
        <v>4</v>
      </c>
    </row>
    <row r="1943" spans="1:4" ht="28.8" x14ac:dyDescent="0.3">
      <c r="A1943" s="12" t="s">
        <v>77</v>
      </c>
      <c r="B1943" s="12" t="s">
        <v>1995</v>
      </c>
      <c r="C1943" s="12">
        <v>772</v>
      </c>
      <c r="D1943" s="12">
        <v>8</v>
      </c>
    </row>
    <row r="1944" spans="1:4" ht="28.8" x14ac:dyDescent="0.3">
      <c r="A1944" s="12" t="s">
        <v>77</v>
      </c>
      <c r="B1944" s="12" t="s">
        <v>1996</v>
      </c>
      <c r="C1944" s="12">
        <v>935</v>
      </c>
      <c r="D1944" s="12">
        <v>9</v>
      </c>
    </row>
    <row r="1945" spans="1:4" ht="28.8" x14ac:dyDescent="0.3">
      <c r="A1945" s="12" t="s">
        <v>77</v>
      </c>
      <c r="B1945" s="12" t="s">
        <v>1997</v>
      </c>
      <c r="C1945" s="12">
        <v>875</v>
      </c>
      <c r="D1945" s="12">
        <v>9</v>
      </c>
    </row>
    <row r="1946" spans="1:4" ht="28.8" x14ac:dyDescent="0.3">
      <c r="A1946" s="12" t="s">
        <v>77</v>
      </c>
      <c r="B1946" s="12" t="s">
        <v>1998</v>
      </c>
      <c r="C1946" s="12">
        <v>439</v>
      </c>
      <c r="D1946" s="12">
        <v>4</v>
      </c>
    </row>
    <row r="1947" spans="1:4" ht="28.8" x14ac:dyDescent="0.3">
      <c r="A1947" s="12" t="s">
        <v>77</v>
      </c>
      <c r="B1947" s="12" t="s">
        <v>1999</v>
      </c>
      <c r="C1947" s="12">
        <v>861</v>
      </c>
      <c r="D1947" s="12">
        <v>9</v>
      </c>
    </row>
    <row r="1948" spans="1:4" ht="28.8" x14ac:dyDescent="0.3">
      <c r="A1948" s="12" t="s">
        <v>77</v>
      </c>
      <c r="B1948" s="12" t="s">
        <v>2000</v>
      </c>
      <c r="C1948" s="12">
        <v>322</v>
      </c>
      <c r="D1948" s="12">
        <v>3</v>
      </c>
    </row>
    <row r="1949" spans="1:4" ht="43.2" x14ac:dyDescent="0.3">
      <c r="A1949" s="12" t="s">
        <v>78</v>
      </c>
      <c r="B1949" s="12" t="s">
        <v>2001</v>
      </c>
      <c r="C1949" s="12">
        <v>157</v>
      </c>
      <c r="D1949" s="12">
        <v>2</v>
      </c>
    </row>
    <row r="1950" spans="1:4" x14ac:dyDescent="0.3">
      <c r="A1950" s="12" t="s">
        <v>78</v>
      </c>
      <c r="B1950" s="12" t="s">
        <v>238</v>
      </c>
      <c r="C1950" s="12">
        <v>567</v>
      </c>
      <c r="D1950" s="12">
        <v>6</v>
      </c>
    </row>
    <row r="1951" spans="1:4" ht="43.2" x14ac:dyDescent="0.3">
      <c r="A1951" s="12" t="s">
        <v>78</v>
      </c>
      <c r="B1951" s="12" t="s">
        <v>2002</v>
      </c>
      <c r="C1951" s="12">
        <v>367</v>
      </c>
      <c r="D1951" s="12">
        <v>4</v>
      </c>
    </row>
    <row r="1952" spans="1:4" ht="28.8" x14ac:dyDescent="0.3">
      <c r="A1952" s="12" t="s">
        <v>78</v>
      </c>
      <c r="B1952" s="12" t="s">
        <v>548</v>
      </c>
      <c r="C1952" s="12">
        <v>424</v>
      </c>
      <c r="D1952" s="12">
        <v>4</v>
      </c>
    </row>
    <row r="1953" spans="1:4" ht="28.8" x14ac:dyDescent="0.3">
      <c r="A1953" s="12" t="s">
        <v>78</v>
      </c>
      <c r="B1953" s="12" t="s">
        <v>2003</v>
      </c>
      <c r="C1953" s="12">
        <v>48</v>
      </c>
      <c r="D1953" s="12">
        <v>1</v>
      </c>
    </row>
    <row r="1954" spans="1:4" ht="43.2" x14ac:dyDescent="0.3">
      <c r="A1954" s="12" t="s">
        <v>78</v>
      </c>
      <c r="B1954" s="12" t="s">
        <v>2004</v>
      </c>
      <c r="C1954" s="12">
        <v>492</v>
      </c>
      <c r="D1954" s="12">
        <v>5</v>
      </c>
    </row>
    <row r="1955" spans="1:4" ht="43.2" x14ac:dyDescent="0.3">
      <c r="A1955" s="12" t="s">
        <v>78</v>
      </c>
      <c r="B1955" s="12" t="s">
        <v>2005</v>
      </c>
      <c r="C1955" s="12">
        <v>233</v>
      </c>
      <c r="D1955" s="12">
        <v>2</v>
      </c>
    </row>
    <row r="1956" spans="1:4" ht="43.2" x14ac:dyDescent="0.3">
      <c r="A1956" s="12" t="s">
        <v>79</v>
      </c>
      <c r="B1956" s="12" t="s">
        <v>2006</v>
      </c>
      <c r="C1956" s="12">
        <v>755</v>
      </c>
      <c r="D1956" s="12">
        <v>8</v>
      </c>
    </row>
    <row r="1957" spans="1:4" ht="72" x14ac:dyDescent="0.3">
      <c r="A1957" s="12" t="s">
        <v>79</v>
      </c>
      <c r="B1957" s="12" t="s">
        <v>2007</v>
      </c>
      <c r="C1957" s="12">
        <v>534</v>
      </c>
      <c r="D1957" s="12">
        <v>5</v>
      </c>
    </row>
    <row r="1958" spans="1:4" ht="28.8" x14ac:dyDescent="0.3">
      <c r="A1958" s="12" t="s">
        <v>79</v>
      </c>
      <c r="B1958" s="12" t="s">
        <v>2008</v>
      </c>
      <c r="C1958" s="12">
        <v>1212</v>
      </c>
      <c r="D1958" s="12">
        <v>12</v>
      </c>
    </row>
    <row r="1959" spans="1:4" ht="43.2" x14ac:dyDescent="0.3">
      <c r="A1959" s="12" t="s">
        <v>79</v>
      </c>
      <c r="B1959" s="12" t="s">
        <v>2009</v>
      </c>
      <c r="C1959" s="12">
        <v>242</v>
      </c>
      <c r="D1959" s="12">
        <v>2</v>
      </c>
    </row>
    <row r="1960" spans="1:4" ht="28.8" x14ac:dyDescent="0.3">
      <c r="A1960" s="12" t="s">
        <v>79</v>
      </c>
      <c r="B1960" s="12" t="s">
        <v>2010</v>
      </c>
      <c r="C1960" s="12">
        <v>617</v>
      </c>
      <c r="D1960" s="12">
        <v>6</v>
      </c>
    </row>
    <row r="1961" spans="1:4" ht="28.8" x14ac:dyDescent="0.3">
      <c r="A1961" s="12" t="s">
        <v>79</v>
      </c>
      <c r="B1961" s="12" t="s">
        <v>2011</v>
      </c>
      <c r="C1961" s="12">
        <v>368</v>
      </c>
      <c r="D1961" s="12">
        <v>4</v>
      </c>
    </row>
    <row r="1962" spans="1:4" ht="57.6" x14ac:dyDescent="0.3">
      <c r="A1962" s="12" t="s">
        <v>79</v>
      </c>
      <c r="B1962" s="12" t="s">
        <v>2012</v>
      </c>
      <c r="C1962" s="12">
        <v>1498</v>
      </c>
      <c r="D1962" s="12">
        <v>15</v>
      </c>
    </row>
    <row r="1963" spans="1:4" ht="43.2" x14ac:dyDescent="0.3">
      <c r="A1963" s="12" t="s">
        <v>79</v>
      </c>
      <c r="B1963" s="12" t="s">
        <v>2013</v>
      </c>
      <c r="C1963" s="12">
        <v>664</v>
      </c>
      <c r="D1963" s="12">
        <v>7</v>
      </c>
    </row>
    <row r="1964" spans="1:4" ht="57.6" x14ac:dyDescent="0.3">
      <c r="A1964" s="12" t="s">
        <v>79</v>
      </c>
      <c r="B1964" s="12" t="s">
        <v>2014</v>
      </c>
      <c r="C1964" s="12">
        <v>1571</v>
      </c>
      <c r="D1964" s="12">
        <v>16</v>
      </c>
    </row>
    <row r="1965" spans="1:4" ht="28.8" x14ac:dyDescent="0.3">
      <c r="A1965" s="12" t="s">
        <v>79</v>
      </c>
      <c r="B1965" s="12" t="s">
        <v>2015</v>
      </c>
      <c r="C1965" s="12">
        <v>533</v>
      </c>
      <c r="D1965" s="12">
        <v>5</v>
      </c>
    </row>
    <row r="1966" spans="1:4" ht="43.2" x14ac:dyDescent="0.3">
      <c r="A1966" s="12" t="s">
        <v>79</v>
      </c>
      <c r="B1966" s="12" t="s">
        <v>2016</v>
      </c>
      <c r="C1966" s="12">
        <v>406</v>
      </c>
      <c r="D1966" s="12">
        <v>4</v>
      </c>
    </row>
    <row r="1967" spans="1:4" ht="28.8" x14ac:dyDescent="0.3">
      <c r="A1967" s="12" t="s">
        <v>80</v>
      </c>
      <c r="B1967" s="12" t="s">
        <v>2017</v>
      </c>
      <c r="C1967" s="12">
        <v>1421</v>
      </c>
      <c r="D1967" s="12">
        <v>14</v>
      </c>
    </row>
    <row r="1968" spans="1:4" ht="28.8" x14ac:dyDescent="0.3">
      <c r="A1968" s="12" t="s">
        <v>80</v>
      </c>
      <c r="B1968" s="12" t="s">
        <v>2018</v>
      </c>
      <c r="C1968" s="12">
        <v>752</v>
      </c>
      <c r="D1968" s="12">
        <v>8</v>
      </c>
    </row>
    <row r="1969" spans="1:4" ht="28.8" x14ac:dyDescent="0.3">
      <c r="A1969" s="12" t="s">
        <v>80</v>
      </c>
      <c r="B1969" s="12" t="s">
        <v>2019</v>
      </c>
      <c r="C1969" s="12">
        <v>949</v>
      </c>
      <c r="D1969" s="12">
        <v>9</v>
      </c>
    </row>
    <row r="1970" spans="1:4" ht="28.8" x14ac:dyDescent="0.3">
      <c r="A1970" s="12" t="s">
        <v>80</v>
      </c>
      <c r="B1970" s="12" t="s">
        <v>2020</v>
      </c>
      <c r="C1970" s="12">
        <v>1750</v>
      </c>
      <c r="D1970" s="12">
        <v>18</v>
      </c>
    </row>
    <row r="1971" spans="1:4" x14ac:dyDescent="0.3">
      <c r="A1971" s="12" t="s">
        <v>80</v>
      </c>
      <c r="B1971" s="12" t="s">
        <v>238</v>
      </c>
      <c r="C1971" s="12">
        <v>672</v>
      </c>
      <c r="D1971" s="12">
        <v>7</v>
      </c>
    </row>
    <row r="1972" spans="1:4" ht="43.2" x14ac:dyDescent="0.3">
      <c r="A1972" s="12" t="s">
        <v>80</v>
      </c>
      <c r="B1972" s="12" t="s">
        <v>2021</v>
      </c>
      <c r="C1972" s="12">
        <v>319</v>
      </c>
      <c r="D1972" s="12">
        <v>3</v>
      </c>
    </row>
    <row r="1973" spans="1:4" ht="28.8" x14ac:dyDescent="0.3">
      <c r="A1973" s="12" t="s">
        <v>80</v>
      </c>
      <c r="B1973" s="12" t="s">
        <v>2022</v>
      </c>
      <c r="C1973" s="12">
        <v>798</v>
      </c>
      <c r="D1973" s="12">
        <v>8</v>
      </c>
    </row>
    <row r="1974" spans="1:4" ht="43.2" x14ac:dyDescent="0.3">
      <c r="A1974" s="12" t="s">
        <v>80</v>
      </c>
      <c r="B1974" s="12" t="s">
        <v>2023</v>
      </c>
      <c r="C1974" s="12">
        <v>536</v>
      </c>
      <c r="D1974" s="12">
        <v>5</v>
      </c>
    </row>
    <row r="1975" spans="1:4" ht="43.2" x14ac:dyDescent="0.3">
      <c r="A1975" s="12" t="s">
        <v>80</v>
      </c>
      <c r="B1975" s="12" t="s">
        <v>2024</v>
      </c>
      <c r="C1975" s="12">
        <v>860</v>
      </c>
      <c r="D1975" s="12">
        <v>9</v>
      </c>
    </row>
    <row r="1976" spans="1:4" ht="43.2" x14ac:dyDescent="0.3">
      <c r="A1976" s="12" t="s">
        <v>80</v>
      </c>
      <c r="B1976" s="12" t="s">
        <v>2025</v>
      </c>
      <c r="C1976" s="12">
        <v>794</v>
      </c>
      <c r="D1976" s="12">
        <v>8</v>
      </c>
    </row>
    <row r="1977" spans="1:4" ht="43.2" x14ac:dyDescent="0.3">
      <c r="A1977" s="12" t="s">
        <v>80</v>
      </c>
      <c r="B1977" s="12" t="s">
        <v>2026</v>
      </c>
      <c r="C1977" s="12">
        <v>210</v>
      </c>
      <c r="D1977" s="12">
        <v>2</v>
      </c>
    </row>
    <row r="1978" spans="1:4" ht="43.2" x14ac:dyDescent="0.3">
      <c r="A1978" s="12" t="s">
        <v>80</v>
      </c>
      <c r="B1978" s="12" t="s">
        <v>2027</v>
      </c>
      <c r="C1978" s="12">
        <v>646</v>
      </c>
      <c r="D1978" s="12">
        <v>6</v>
      </c>
    </row>
    <row r="1979" spans="1:4" ht="43.2" x14ac:dyDescent="0.3">
      <c r="A1979" s="12" t="s">
        <v>80</v>
      </c>
      <c r="B1979" s="12" t="s">
        <v>2028</v>
      </c>
      <c r="C1979" s="12">
        <v>700</v>
      </c>
      <c r="D1979" s="12">
        <v>7</v>
      </c>
    </row>
    <row r="1980" spans="1:4" ht="43.2" x14ac:dyDescent="0.3">
      <c r="A1980" s="12" t="s">
        <v>80</v>
      </c>
      <c r="B1980" s="12" t="s">
        <v>2029</v>
      </c>
      <c r="C1980" s="12">
        <v>1016</v>
      </c>
      <c r="D1980" s="12">
        <v>10</v>
      </c>
    </row>
    <row r="1981" spans="1:4" ht="43.2" x14ac:dyDescent="0.3">
      <c r="A1981" s="12" t="s">
        <v>80</v>
      </c>
      <c r="B1981" s="12" t="s">
        <v>2030</v>
      </c>
      <c r="C1981" s="12">
        <v>1083</v>
      </c>
      <c r="D1981" s="12">
        <v>11</v>
      </c>
    </row>
    <row r="1982" spans="1:4" ht="43.2" x14ac:dyDescent="0.3">
      <c r="A1982" s="12" t="s">
        <v>80</v>
      </c>
      <c r="B1982" s="12" t="s">
        <v>2031</v>
      </c>
      <c r="C1982" s="12">
        <v>1334</v>
      </c>
      <c r="D1982" s="12">
        <v>13</v>
      </c>
    </row>
    <row r="1983" spans="1:4" ht="43.2" x14ac:dyDescent="0.3">
      <c r="A1983" s="12" t="s">
        <v>80</v>
      </c>
      <c r="B1983" s="12" t="s">
        <v>2032</v>
      </c>
      <c r="C1983" s="12">
        <v>2112</v>
      </c>
      <c r="D1983" s="12">
        <v>21</v>
      </c>
    </row>
    <row r="1984" spans="1:4" ht="43.2" x14ac:dyDescent="0.3">
      <c r="A1984" s="12" t="s">
        <v>80</v>
      </c>
      <c r="B1984" s="12" t="s">
        <v>2033</v>
      </c>
      <c r="C1984" s="12">
        <v>1092</v>
      </c>
      <c r="D1984" s="12">
        <v>11</v>
      </c>
    </row>
    <row r="1985" spans="1:4" ht="43.2" x14ac:dyDescent="0.3">
      <c r="A1985" s="12" t="s">
        <v>80</v>
      </c>
      <c r="B1985" s="12" t="s">
        <v>2034</v>
      </c>
      <c r="C1985" s="12">
        <v>1037</v>
      </c>
      <c r="D1985" s="12">
        <v>10</v>
      </c>
    </row>
    <row r="1986" spans="1:4" ht="43.2" x14ac:dyDescent="0.3">
      <c r="A1986" s="12" t="s">
        <v>80</v>
      </c>
      <c r="B1986" s="12" t="s">
        <v>2035</v>
      </c>
      <c r="C1986" s="12">
        <v>903</v>
      </c>
      <c r="D1986" s="12">
        <v>9</v>
      </c>
    </row>
    <row r="1987" spans="1:4" ht="43.2" x14ac:dyDescent="0.3">
      <c r="A1987" s="12" t="s">
        <v>80</v>
      </c>
      <c r="B1987" s="12" t="s">
        <v>2036</v>
      </c>
      <c r="C1987" s="12">
        <v>1425</v>
      </c>
      <c r="D1987" s="12">
        <v>14</v>
      </c>
    </row>
    <row r="1988" spans="1:4" ht="43.2" x14ac:dyDescent="0.3">
      <c r="A1988" s="12" t="s">
        <v>80</v>
      </c>
      <c r="B1988" s="12" t="s">
        <v>2037</v>
      </c>
      <c r="C1988" s="12">
        <v>1522</v>
      </c>
      <c r="D1988" s="12">
        <v>15</v>
      </c>
    </row>
    <row r="1989" spans="1:4" ht="43.2" x14ac:dyDescent="0.3">
      <c r="A1989" s="12" t="s">
        <v>80</v>
      </c>
      <c r="B1989" s="12" t="s">
        <v>2038</v>
      </c>
      <c r="C1989" s="12">
        <v>2039</v>
      </c>
      <c r="D1989" s="12">
        <v>20</v>
      </c>
    </row>
    <row r="1990" spans="1:4" ht="43.2" x14ac:dyDescent="0.3">
      <c r="A1990" s="12" t="s">
        <v>80</v>
      </c>
      <c r="B1990" s="12" t="s">
        <v>2039</v>
      </c>
      <c r="C1990" s="12">
        <v>1363</v>
      </c>
      <c r="D1990" s="12">
        <v>14</v>
      </c>
    </row>
    <row r="1991" spans="1:4" ht="43.2" x14ac:dyDescent="0.3">
      <c r="A1991" s="12" t="s">
        <v>80</v>
      </c>
      <c r="B1991" s="12" t="s">
        <v>2040</v>
      </c>
      <c r="C1991" s="12">
        <v>1688</v>
      </c>
      <c r="D1991" s="12">
        <v>17</v>
      </c>
    </row>
    <row r="1992" spans="1:4" ht="43.2" x14ac:dyDescent="0.3">
      <c r="A1992" s="12" t="s">
        <v>80</v>
      </c>
      <c r="B1992" s="12" t="s">
        <v>2041</v>
      </c>
      <c r="C1992" s="12">
        <v>963</v>
      </c>
      <c r="D1992" s="12">
        <v>10</v>
      </c>
    </row>
    <row r="1993" spans="1:4" ht="43.2" x14ac:dyDescent="0.3">
      <c r="A1993" s="12" t="s">
        <v>80</v>
      </c>
      <c r="B1993" s="12" t="s">
        <v>2042</v>
      </c>
      <c r="C1993" s="12">
        <v>1516</v>
      </c>
      <c r="D1993" s="12">
        <v>15</v>
      </c>
    </row>
    <row r="1994" spans="1:4" ht="43.2" x14ac:dyDescent="0.3">
      <c r="A1994" s="12" t="s">
        <v>80</v>
      </c>
      <c r="B1994" s="12" t="s">
        <v>2043</v>
      </c>
      <c r="C1994" s="12">
        <v>904</v>
      </c>
      <c r="D1994" s="12">
        <v>9</v>
      </c>
    </row>
    <row r="1995" spans="1:4" ht="43.2" x14ac:dyDescent="0.3">
      <c r="A1995" s="12" t="s">
        <v>80</v>
      </c>
      <c r="B1995" s="12" t="s">
        <v>2044</v>
      </c>
      <c r="C1995" s="12">
        <v>509</v>
      </c>
      <c r="D1995" s="12">
        <v>5</v>
      </c>
    </row>
    <row r="1996" spans="1:4" ht="43.2" x14ac:dyDescent="0.3">
      <c r="A1996" s="12" t="s">
        <v>80</v>
      </c>
      <c r="B1996" s="12" t="s">
        <v>2045</v>
      </c>
      <c r="C1996" s="12">
        <v>655</v>
      </c>
      <c r="D1996" s="12">
        <v>7</v>
      </c>
    </row>
    <row r="1997" spans="1:4" ht="43.2" x14ac:dyDescent="0.3">
      <c r="A1997" s="12" t="s">
        <v>80</v>
      </c>
      <c r="B1997" s="12" t="s">
        <v>2046</v>
      </c>
      <c r="C1997" s="12">
        <v>1927</v>
      </c>
      <c r="D1997" s="12">
        <v>19</v>
      </c>
    </row>
    <row r="1998" spans="1:4" ht="28.8" x14ac:dyDescent="0.3">
      <c r="A1998" s="12" t="s">
        <v>80</v>
      </c>
      <c r="B1998" s="12" t="s">
        <v>2047</v>
      </c>
      <c r="C1998" s="12">
        <v>864</v>
      </c>
      <c r="D1998" s="12">
        <v>9</v>
      </c>
    </row>
    <row r="1999" spans="1:4" ht="43.2" x14ac:dyDescent="0.3">
      <c r="A1999" s="12" t="s">
        <v>80</v>
      </c>
      <c r="B1999" s="12" t="s">
        <v>2048</v>
      </c>
      <c r="C1999" s="12">
        <v>397</v>
      </c>
      <c r="D1999" s="12">
        <v>4</v>
      </c>
    </row>
    <row r="2000" spans="1:4" ht="43.2" x14ac:dyDescent="0.3">
      <c r="A2000" s="12" t="s">
        <v>80</v>
      </c>
      <c r="B2000" s="12" t="s">
        <v>2049</v>
      </c>
      <c r="C2000" s="12">
        <v>1197</v>
      </c>
      <c r="D2000" s="12">
        <v>12</v>
      </c>
    </row>
    <row r="2001" spans="1:4" ht="43.2" x14ac:dyDescent="0.3">
      <c r="A2001" s="12" t="s">
        <v>80</v>
      </c>
      <c r="B2001" s="12" t="s">
        <v>2050</v>
      </c>
      <c r="C2001" s="12">
        <v>961</v>
      </c>
      <c r="D2001" s="12">
        <v>10</v>
      </c>
    </row>
    <row r="2002" spans="1:4" ht="43.2" x14ac:dyDescent="0.3">
      <c r="A2002" s="12" t="s">
        <v>80</v>
      </c>
      <c r="B2002" s="12" t="s">
        <v>2051</v>
      </c>
      <c r="C2002" s="12">
        <v>908</v>
      </c>
      <c r="D2002" s="12">
        <v>9</v>
      </c>
    </row>
    <row r="2003" spans="1:4" ht="28.8" x14ac:dyDescent="0.3">
      <c r="A2003" s="12" t="s">
        <v>80</v>
      </c>
      <c r="B2003" s="12" t="s">
        <v>2052</v>
      </c>
      <c r="C2003" s="12">
        <v>186</v>
      </c>
      <c r="D2003" s="12">
        <v>2</v>
      </c>
    </row>
    <row r="2004" spans="1:4" ht="57.6" x14ac:dyDescent="0.3">
      <c r="A2004" s="12" t="s">
        <v>80</v>
      </c>
      <c r="B2004" s="12" t="s">
        <v>2053</v>
      </c>
      <c r="C2004" s="12">
        <v>1792</v>
      </c>
      <c r="D2004" s="12">
        <v>18</v>
      </c>
    </row>
    <row r="2005" spans="1:4" ht="57.6" x14ac:dyDescent="0.3">
      <c r="A2005" s="12" t="s">
        <v>80</v>
      </c>
      <c r="B2005" s="12" t="s">
        <v>2054</v>
      </c>
      <c r="C2005" s="12">
        <v>1123</v>
      </c>
      <c r="D2005" s="12">
        <v>11</v>
      </c>
    </row>
    <row r="2006" spans="1:4" ht="57.6" x14ac:dyDescent="0.3">
      <c r="A2006" s="12" t="s">
        <v>80</v>
      </c>
      <c r="B2006" s="12" t="s">
        <v>2055</v>
      </c>
      <c r="C2006" s="12">
        <v>902</v>
      </c>
      <c r="D2006" s="12">
        <v>9</v>
      </c>
    </row>
    <row r="2007" spans="1:4" ht="43.2" x14ac:dyDescent="0.3">
      <c r="A2007" s="12" t="s">
        <v>81</v>
      </c>
      <c r="B2007" s="12" t="s">
        <v>2056</v>
      </c>
      <c r="C2007" s="12">
        <v>670</v>
      </c>
      <c r="D2007" s="12">
        <v>7</v>
      </c>
    </row>
    <row r="2008" spans="1:4" ht="43.2" x14ac:dyDescent="0.3">
      <c r="A2008" s="12" t="s">
        <v>81</v>
      </c>
      <c r="B2008" s="12" t="s">
        <v>2057</v>
      </c>
      <c r="C2008" s="12">
        <v>700</v>
      </c>
      <c r="D2008" s="12">
        <v>7</v>
      </c>
    </row>
    <row r="2009" spans="1:4" ht="43.2" x14ac:dyDescent="0.3">
      <c r="A2009" s="12" t="s">
        <v>81</v>
      </c>
      <c r="B2009" s="12" t="s">
        <v>2058</v>
      </c>
      <c r="C2009" s="12">
        <v>225</v>
      </c>
      <c r="D2009" s="12">
        <v>2</v>
      </c>
    </row>
    <row r="2010" spans="1:4" ht="28.8" x14ac:dyDescent="0.3">
      <c r="A2010" s="12" t="s">
        <v>81</v>
      </c>
      <c r="B2010" s="12" t="s">
        <v>2059</v>
      </c>
      <c r="C2010" s="12">
        <v>650</v>
      </c>
      <c r="D2010" s="12">
        <v>6</v>
      </c>
    </row>
    <row r="2011" spans="1:4" ht="28.8" x14ac:dyDescent="0.3">
      <c r="A2011" s="12" t="s">
        <v>81</v>
      </c>
      <c r="B2011" s="12" t="s">
        <v>2060</v>
      </c>
      <c r="C2011" s="12">
        <v>472</v>
      </c>
      <c r="D2011" s="12">
        <v>5</v>
      </c>
    </row>
    <row r="2012" spans="1:4" x14ac:dyDescent="0.3">
      <c r="A2012" s="12" t="s">
        <v>81</v>
      </c>
      <c r="B2012" s="12" t="s">
        <v>1067</v>
      </c>
      <c r="C2012" s="12">
        <v>1180</v>
      </c>
      <c r="D2012" s="12">
        <v>12</v>
      </c>
    </row>
    <row r="2013" spans="1:4" ht="28.8" x14ac:dyDescent="0.3">
      <c r="A2013" s="12" t="s">
        <v>81</v>
      </c>
      <c r="B2013" s="12" t="s">
        <v>252</v>
      </c>
      <c r="C2013" s="12">
        <v>405</v>
      </c>
      <c r="D2013" s="12">
        <v>4</v>
      </c>
    </row>
    <row r="2014" spans="1:4" ht="43.2" x14ac:dyDescent="0.3">
      <c r="A2014" s="12" t="s">
        <v>82</v>
      </c>
      <c r="B2014" s="12" t="s">
        <v>2061</v>
      </c>
      <c r="C2014" s="12">
        <v>1435</v>
      </c>
      <c r="D2014" s="12">
        <v>14</v>
      </c>
    </row>
    <row r="2015" spans="1:4" ht="43.2" x14ac:dyDescent="0.3">
      <c r="A2015" s="12" t="s">
        <v>82</v>
      </c>
      <c r="B2015" s="12" t="s">
        <v>2062</v>
      </c>
      <c r="C2015" s="12">
        <v>1413</v>
      </c>
      <c r="D2015" s="12">
        <v>14</v>
      </c>
    </row>
    <row r="2016" spans="1:4" ht="43.2" x14ac:dyDescent="0.3">
      <c r="A2016" s="12" t="s">
        <v>82</v>
      </c>
      <c r="B2016" s="12" t="s">
        <v>2063</v>
      </c>
      <c r="C2016" s="12">
        <v>835</v>
      </c>
      <c r="D2016" s="12">
        <v>8</v>
      </c>
    </row>
    <row r="2017" spans="1:4" ht="43.2" x14ac:dyDescent="0.3">
      <c r="A2017" s="12" t="s">
        <v>82</v>
      </c>
      <c r="B2017" s="12" t="s">
        <v>2064</v>
      </c>
      <c r="C2017" s="12">
        <v>826</v>
      </c>
      <c r="D2017" s="12">
        <v>8</v>
      </c>
    </row>
    <row r="2018" spans="1:4" ht="43.2" x14ac:dyDescent="0.3">
      <c r="A2018" s="12" t="s">
        <v>82</v>
      </c>
      <c r="B2018" s="12" t="s">
        <v>2065</v>
      </c>
      <c r="C2018" s="12">
        <v>1468</v>
      </c>
      <c r="D2018" s="12">
        <v>15</v>
      </c>
    </row>
    <row r="2019" spans="1:4" ht="28.8" x14ac:dyDescent="0.3">
      <c r="A2019" s="12" t="s">
        <v>82</v>
      </c>
      <c r="B2019" s="12" t="s">
        <v>2066</v>
      </c>
      <c r="C2019" s="12">
        <v>400</v>
      </c>
      <c r="D2019" s="12">
        <v>4</v>
      </c>
    </row>
    <row r="2020" spans="1:4" ht="28.8" x14ac:dyDescent="0.3">
      <c r="A2020" s="12" t="s">
        <v>82</v>
      </c>
      <c r="B2020" s="12" t="s">
        <v>2067</v>
      </c>
      <c r="C2020" s="12">
        <v>628</v>
      </c>
      <c r="D2020" s="12">
        <v>6</v>
      </c>
    </row>
    <row r="2021" spans="1:4" x14ac:dyDescent="0.3">
      <c r="A2021" s="12" t="s">
        <v>82</v>
      </c>
      <c r="B2021" s="12" t="s">
        <v>2068</v>
      </c>
      <c r="C2021" s="12">
        <v>597</v>
      </c>
      <c r="D2021" s="12">
        <v>6</v>
      </c>
    </row>
    <row r="2022" spans="1:4" ht="28.8" x14ac:dyDescent="0.3">
      <c r="A2022" s="12" t="s">
        <v>82</v>
      </c>
      <c r="B2022" s="12" t="s">
        <v>2069</v>
      </c>
      <c r="C2022" s="12">
        <v>395</v>
      </c>
      <c r="D2022" s="12">
        <v>4</v>
      </c>
    </row>
    <row r="2023" spans="1:4" ht="28.8" x14ac:dyDescent="0.3">
      <c r="A2023" s="12" t="s">
        <v>82</v>
      </c>
      <c r="B2023" s="12" t="s">
        <v>2070</v>
      </c>
      <c r="C2023" s="12">
        <v>752</v>
      </c>
      <c r="D2023" s="12">
        <v>8</v>
      </c>
    </row>
    <row r="2024" spans="1:4" ht="28.8" x14ac:dyDescent="0.3">
      <c r="A2024" s="12" t="s">
        <v>82</v>
      </c>
      <c r="B2024" s="12" t="s">
        <v>2071</v>
      </c>
      <c r="C2024" s="12">
        <v>546</v>
      </c>
      <c r="D2024" s="12">
        <v>5</v>
      </c>
    </row>
    <row r="2025" spans="1:4" ht="43.2" x14ac:dyDescent="0.3">
      <c r="A2025" s="12" t="s">
        <v>82</v>
      </c>
      <c r="B2025" s="12" t="s">
        <v>495</v>
      </c>
      <c r="C2025" s="12">
        <v>795</v>
      </c>
      <c r="D2025" s="12">
        <v>8</v>
      </c>
    </row>
    <row r="2026" spans="1:4" ht="43.2" x14ac:dyDescent="0.3">
      <c r="A2026" s="12" t="s">
        <v>82</v>
      </c>
      <c r="B2026" s="12" t="s">
        <v>2072</v>
      </c>
      <c r="C2026" s="12">
        <v>659</v>
      </c>
      <c r="D2026" s="12">
        <v>7</v>
      </c>
    </row>
    <row r="2027" spans="1:4" ht="43.2" x14ac:dyDescent="0.3">
      <c r="A2027" s="12" t="s">
        <v>82</v>
      </c>
      <c r="B2027" s="12" t="s">
        <v>2073</v>
      </c>
      <c r="C2027" s="12">
        <v>1061</v>
      </c>
      <c r="D2027" s="12">
        <v>11</v>
      </c>
    </row>
    <row r="2028" spans="1:4" ht="43.2" x14ac:dyDescent="0.3">
      <c r="A2028" s="12" t="s">
        <v>82</v>
      </c>
      <c r="B2028" s="12" t="s">
        <v>1367</v>
      </c>
      <c r="C2028" s="12">
        <v>271</v>
      </c>
      <c r="D2028" s="12">
        <v>3</v>
      </c>
    </row>
    <row r="2029" spans="1:4" ht="43.2" x14ac:dyDescent="0.3">
      <c r="A2029" s="12" t="s">
        <v>82</v>
      </c>
      <c r="B2029" s="12" t="s">
        <v>2074</v>
      </c>
      <c r="C2029" s="12">
        <v>499</v>
      </c>
      <c r="D2029" s="12">
        <v>5</v>
      </c>
    </row>
    <row r="2030" spans="1:4" ht="43.2" x14ac:dyDescent="0.3">
      <c r="A2030" s="12" t="s">
        <v>82</v>
      </c>
      <c r="B2030" s="12" t="s">
        <v>1368</v>
      </c>
      <c r="C2030" s="12">
        <v>273</v>
      </c>
      <c r="D2030" s="12">
        <v>3</v>
      </c>
    </row>
    <row r="2031" spans="1:4" x14ac:dyDescent="0.3">
      <c r="A2031" s="12" t="s">
        <v>82</v>
      </c>
      <c r="B2031" s="12" t="s">
        <v>2075</v>
      </c>
      <c r="C2031" s="12">
        <v>313</v>
      </c>
      <c r="D2031" s="12">
        <v>3</v>
      </c>
    </row>
    <row r="2032" spans="1:4" ht="43.2" x14ac:dyDescent="0.3">
      <c r="A2032" s="12" t="s">
        <v>82</v>
      </c>
      <c r="B2032" s="12" t="s">
        <v>2076</v>
      </c>
      <c r="C2032" s="12">
        <v>296</v>
      </c>
      <c r="D2032" s="12">
        <v>3</v>
      </c>
    </row>
    <row r="2033" spans="1:4" ht="28.8" x14ac:dyDescent="0.3">
      <c r="A2033" s="12" t="s">
        <v>82</v>
      </c>
      <c r="B2033" s="12" t="s">
        <v>2077</v>
      </c>
      <c r="C2033" s="12">
        <v>1211</v>
      </c>
      <c r="D2033" s="12">
        <v>12</v>
      </c>
    </row>
    <row r="2034" spans="1:4" ht="57.6" x14ac:dyDescent="0.3">
      <c r="A2034" s="12" t="s">
        <v>82</v>
      </c>
      <c r="B2034" s="12" t="s">
        <v>2078</v>
      </c>
      <c r="C2034" s="12">
        <v>481</v>
      </c>
      <c r="D2034" s="12">
        <v>5</v>
      </c>
    </row>
    <row r="2035" spans="1:4" ht="28.8" x14ac:dyDescent="0.3">
      <c r="A2035" s="12" t="s">
        <v>82</v>
      </c>
      <c r="B2035" s="12" t="s">
        <v>1428</v>
      </c>
      <c r="C2035" s="12">
        <v>1220</v>
      </c>
      <c r="D2035" s="12">
        <v>12</v>
      </c>
    </row>
    <row r="2036" spans="1:4" ht="28.8" x14ac:dyDescent="0.3">
      <c r="A2036" s="12" t="s">
        <v>83</v>
      </c>
      <c r="B2036" s="12" t="s">
        <v>2079</v>
      </c>
      <c r="C2036" s="12">
        <v>356</v>
      </c>
      <c r="D2036" s="12">
        <v>4</v>
      </c>
    </row>
    <row r="2037" spans="1:4" ht="28.8" x14ac:dyDescent="0.3">
      <c r="A2037" s="12" t="s">
        <v>83</v>
      </c>
      <c r="B2037" s="12" t="s">
        <v>2080</v>
      </c>
      <c r="C2037" s="12">
        <v>357</v>
      </c>
      <c r="D2037" s="12">
        <v>4</v>
      </c>
    </row>
    <row r="2038" spans="1:4" ht="28.8" x14ac:dyDescent="0.3">
      <c r="A2038" s="12" t="s">
        <v>83</v>
      </c>
      <c r="B2038" s="12" t="s">
        <v>2081</v>
      </c>
      <c r="C2038" s="12">
        <v>44</v>
      </c>
      <c r="D2038" s="12">
        <v>1</v>
      </c>
    </row>
    <row r="2039" spans="1:4" ht="28.8" x14ac:dyDescent="0.3">
      <c r="A2039" s="12" t="s">
        <v>83</v>
      </c>
      <c r="B2039" s="12" t="s">
        <v>2082</v>
      </c>
      <c r="C2039" s="12">
        <v>1385</v>
      </c>
      <c r="D2039" s="12">
        <v>14</v>
      </c>
    </row>
    <row r="2040" spans="1:4" ht="28.8" x14ac:dyDescent="0.3">
      <c r="A2040" s="12" t="s">
        <v>83</v>
      </c>
      <c r="B2040" s="12" t="s">
        <v>2083</v>
      </c>
      <c r="C2040" s="12">
        <v>1467</v>
      </c>
      <c r="D2040" s="12">
        <v>15</v>
      </c>
    </row>
    <row r="2041" spans="1:4" ht="57.6" x14ac:dyDescent="0.3">
      <c r="A2041" s="12" t="s">
        <v>83</v>
      </c>
      <c r="B2041" s="12" t="s">
        <v>2084</v>
      </c>
      <c r="C2041" s="12">
        <v>494</v>
      </c>
      <c r="D2041" s="12">
        <v>5</v>
      </c>
    </row>
    <row r="2042" spans="1:4" ht="57.6" x14ac:dyDescent="0.3">
      <c r="A2042" s="12" t="s">
        <v>83</v>
      </c>
      <c r="B2042" s="12" t="s">
        <v>2085</v>
      </c>
      <c r="C2042" s="12">
        <v>243</v>
      </c>
      <c r="D2042" s="12">
        <v>2</v>
      </c>
    </row>
    <row r="2043" spans="1:4" ht="43.2" x14ac:dyDescent="0.3">
      <c r="A2043" s="12" t="s">
        <v>83</v>
      </c>
      <c r="B2043" s="12" t="s">
        <v>2086</v>
      </c>
      <c r="C2043" s="12">
        <v>1758</v>
      </c>
      <c r="D2043" s="12">
        <v>18</v>
      </c>
    </row>
    <row r="2044" spans="1:4" ht="43.2" x14ac:dyDescent="0.3">
      <c r="A2044" s="12" t="s">
        <v>83</v>
      </c>
      <c r="B2044" s="12" t="s">
        <v>2087</v>
      </c>
      <c r="C2044" s="12">
        <v>1402</v>
      </c>
      <c r="D2044" s="12">
        <v>14</v>
      </c>
    </row>
    <row r="2045" spans="1:4" ht="43.2" x14ac:dyDescent="0.3">
      <c r="A2045" s="12" t="s">
        <v>83</v>
      </c>
      <c r="B2045" s="12" t="s">
        <v>2088</v>
      </c>
      <c r="C2045" s="12">
        <v>175</v>
      </c>
      <c r="D2045" s="12">
        <v>2</v>
      </c>
    </row>
    <row r="2046" spans="1:4" ht="43.2" x14ac:dyDescent="0.3">
      <c r="A2046" s="12" t="s">
        <v>83</v>
      </c>
      <c r="B2046" s="12" t="s">
        <v>2089</v>
      </c>
      <c r="C2046" s="12">
        <v>67</v>
      </c>
      <c r="D2046" s="12">
        <v>1</v>
      </c>
    </row>
    <row r="2047" spans="1:4" ht="43.2" x14ac:dyDescent="0.3">
      <c r="A2047" s="12" t="s">
        <v>83</v>
      </c>
      <c r="B2047" s="12" t="s">
        <v>2090</v>
      </c>
      <c r="C2047" s="12">
        <v>36</v>
      </c>
      <c r="D2047" s="12">
        <v>1</v>
      </c>
    </row>
    <row r="2048" spans="1:4" ht="28.8" x14ac:dyDescent="0.3">
      <c r="A2048" s="12" t="s">
        <v>83</v>
      </c>
      <c r="B2048" s="12" t="s">
        <v>2091</v>
      </c>
      <c r="C2048" s="12">
        <v>481</v>
      </c>
      <c r="D2048" s="12">
        <v>5</v>
      </c>
    </row>
    <row r="2049" spans="1:4" ht="28.8" x14ac:dyDescent="0.3">
      <c r="A2049" s="12" t="s">
        <v>83</v>
      </c>
      <c r="B2049" s="12" t="s">
        <v>2092</v>
      </c>
      <c r="C2049" s="12">
        <v>126</v>
      </c>
      <c r="D2049" s="12">
        <v>1</v>
      </c>
    </row>
    <row r="2050" spans="1:4" ht="28.8" x14ac:dyDescent="0.3">
      <c r="A2050" s="12" t="s">
        <v>83</v>
      </c>
      <c r="B2050" s="12" t="s">
        <v>2093</v>
      </c>
      <c r="C2050" s="12">
        <v>254</v>
      </c>
      <c r="D2050" s="12">
        <v>3</v>
      </c>
    </row>
    <row r="2051" spans="1:4" ht="28.8" x14ac:dyDescent="0.3">
      <c r="A2051" s="12" t="s">
        <v>83</v>
      </c>
      <c r="B2051" s="12" t="s">
        <v>2094</v>
      </c>
      <c r="C2051" s="12">
        <v>303</v>
      </c>
      <c r="D2051" s="12">
        <v>3</v>
      </c>
    </row>
    <row r="2052" spans="1:4" ht="43.2" x14ac:dyDescent="0.3">
      <c r="A2052" s="12" t="s">
        <v>84</v>
      </c>
      <c r="B2052" s="12" t="s">
        <v>2095</v>
      </c>
      <c r="C2052" s="12">
        <v>198</v>
      </c>
      <c r="D2052" s="12">
        <v>2</v>
      </c>
    </row>
    <row r="2053" spans="1:4" ht="28.8" x14ac:dyDescent="0.3">
      <c r="A2053" s="12" t="s">
        <v>84</v>
      </c>
      <c r="B2053" s="12" t="s">
        <v>2096</v>
      </c>
      <c r="C2053" s="12">
        <v>596</v>
      </c>
      <c r="D2053" s="12">
        <v>6</v>
      </c>
    </row>
    <row r="2054" spans="1:4" x14ac:dyDescent="0.3">
      <c r="A2054" s="12" t="s">
        <v>84</v>
      </c>
      <c r="B2054" s="12" t="s">
        <v>2097</v>
      </c>
      <c r="C2054" s="12">
        <v>303</v>
      </c>
      <c r="D2054" s="12">
        <v>3</v>
      </c>
    </row>
    <row r="2055" spans="1:4" ht="28.8" x14ac:dyDescent="0.3">
      <c r="A2055" s="12" t="s">
        <v>84</v>
      </c>
      <c r="B2055" s="12" t="s">
        <v>2098</v>
      </c>
      <c r="C2055" s="12">
        <v>331</v>
      </c>
      <c r="D2055" s="12">
        <v>3</v>
      </c>
    </row>
    <row r="2056" spans="1:4" ht="43.2" x14ac:dyDescent="0.3">
      <c r="A2056" s="12" t="s">
        <v>84</v>
      </c>
      <c r="B2056" s="12" t="s">
        <v>2099</v>
      </c>
      <c r="C2056" s="12">
        <v>298</v>
      </c>
      <c r="D2056" s="12">
        <v>3</v>
      </c>
    </row>
    <row r="2057" spans="1:4" ht="43.2" x14ac:dyDescent="0.3">
      <c r="A2057" s="12" t="s">
        <v>84</v>
      </c>
      <c r="B2057" s="12" t="s">
        <v>2100</v>
      </c>
      <c r="C2057" s="12">
        <v>1273</v>
      </c>
      <c r="D2057" s="12">
        <v>13</v>
      </c>
    </row>
    <row r="2058" spans="1:4" ht="28.8" x14ac:dyDescent="0.3">
      <c r="A2058" s="12" t="s">
        <v>84</v>
      </c>
      <c r="B2058" s="12" t="s">
        <v>2101</v>
      </c>
      <c r="C2058" s="12">
        <v>240</v>
      </c>
      <c r="D2058" s="12">
        <v>2</v>
      </c>
    </row>
    <row r="2059" spans="1:4" ht="43.2" x14ac:dyDescent="0.3">
      <c r="A2059" s="12" t="s">
        <v>84</v>
      </c>
      <c r="B2059" s="12" t="s">
        <v>2102</v>
      </c>
      <c r="C2059" s="12">
        <v>284</v>
      </c>
      <c r="D2059" s="12">
        <v>3</v>
      </c>
    </row>
    <row r="2060" spans="1:4" ht="43.2" x14ac:dyDescent="0.3">
      <c r="A2060" s="12" t="s">
        <v>84</v>
      </c>
      <c r="B2060" s="12" t="s">
        <v>2103</v>
      </c>
      <c r="C2060" s="12">
        <v>875</v>
      </c>
      <c r="D2060" s="12">
        <v>9</v>
      </c>
    </row>
    <row r="2061" spans="1:4" ht="57.6" x14ac:dyDescent="0.3">
      <c r="A2061" s="12" t="s">
        <v>84</v>
      </c>
      <c r="B2061" s="12" t="s">
        <v>2104</v>
      </c>
      <c r="C2061" s="12">
        <v>291</v>
      </c>
      <c r="D2061" s="12">
        <v>3</v>
      </c>
    </row>
    <row r="2062" spans="1:4" ht="43.2" x14ac:dyDescent="0.3">
      <c r="A2062" s="12" t="s">
        <v>84</v>
      </c>
      <c r="B2062" s="12" t="s">
        <v>2105</v>
      </c>
      <c r="C2062" s="12">
        <v>753.000001</v>
      </c>
      <c r="D2062" s="12">
        <v>8</v>
      </c>
    </row>
    <row r="2063" spans="1:4" ht="43.2" x14ac:dyDescent="0.3">
      <c r="A2063" s="12" t="s">
        <v>84</v>
      </c>
      <c r="B2063" s="12" t="s">
        <v>2106</v>
      </c>
      <c r="C2063" s="12">
        <v>480</v>
      </c>
      <c r="D2063" s="12">
        <v>5</v>
      </c>
    </row>
    <row r="2064" spans="1:4" ht="43.2" x14ac:dyDescent="0.3">
      <c r="A2064" s="12" t="s">
        <v>84</v>
      </c>
      <c r="B2064" s="12" t="s">
        <v>2107</v>
      </c>
      <c r="C2064" s="12">
        <v>272</v>
      </c>
      <c r="D2064" s="12">
        <v>3</v>
      </c>
    </row>
    <row r="2065" spans="1:4" ht="43.2" x14ac:dyDescent="0.3">
      <c r="A2065" s="12" t="s">
        <v>84</v>
      </c>
      <c r="B2065" s="12" t="s">
        <v>2108</v>
      </c>
      <c r="C2065" s="12">
        <v>538</v>
      </c>
      <c r="D2065" s="12">
        <v>5</v>
      </c>
    </row>
    <row r="2066" spans="1:4" ht="43.2" x14ac:dyDescent="0.3">
      <c r="A2066" s="12" t="s">
        <v>84</v>
      </c>
      <c r="B2066" s="12" t="s">
        <v>2109</v>
      </c>
      <c r="C2066" s="12">
        <v>648</v>
      </c>
      <c r="D2066" s="12">
        <v>6</v>
      </c>
    </row>
    <row r="2067" spans="1:4" ht="43.2" x14ac:dyDescent="0.3">
      <c r="A2067" s="12" t="s">
        <v>84</v>
      </c>
      <c r="B2067" s="12" t="s">
        <v>2110</v>
      </c>
      <c r="C2067" s="12">
        <v>142</v>
      </c>
      <c r="D2067" s="12">
        <v>1</v>
      </c>
    </row>
    <row r="2068" spans="1:4" ht="43.2" x14ac:dyDescent="0.3">
      <c r="A2068" s="12" t="s">
        <v>84</v>
      </c>
      <c r="B2068" s="12" t="s">
        <v>2111</v>
      </c>
      <c r="C2068" s="12">
        <v>464</v>
      </c>
      <c r="D2068" s="12">
        <v>5</v>
      </c>
    </row>
    <row r="2069" spans="1:4" ht="28.8" x14ac:dyDescent="0.3">
      <c r="A2069" s="12" t="s">
        <v>84</v>
      </c>
      <c r="B2069" s="12" t="s">
        <v>2112</v>
      </c>
      <c r="C2069" s="12">
        <v>1194</v>
      </c>
      <c r="D2069" s="12">
        <v>12</v>
      </c>
    </row>
    <row r="2070" spans="1:4" ht="43.2" x14ac:dyDescent="0.3">
      <c r="A2070" s="12" t="s">
        <v>84</v>
      </c>
      <c r="B2070" s="12" t="s">
        <v>2113</v>
      </c>
      <c r="C2070" s="12">
        <v>833</v>
      </c>
      <c r="D2070" s="12">
        <v>8</v>
      </c>
    </row>
    <row r="2071" spans="1:4" ht="28.8" x14ac:dyDescent="0.3">
      <c r="A2071" s="12" t="s">
        <v>84</v>
      </c>
      <c r="B2071" s="12" t="s">
        <v>2114</v>
      </c>
      <c r="C2071" s="12">
        <v>312</v>
      </c>
      <c r="D2071" s="12">
        <v>3</v>
      </c>
    </row>
    <row r="2072" spans="1:4" ht="43.2" x14ac:dyDescent="0.3">
      <c r="A2072" s="12" t="s">
        <v>84</v>
      </c>
      <c r="B2072" s="12" t="s">
        <v>2115</v>
      </c>
      <c r="C2072" s="12">
        <v>211</v>
      </c>
      <c r="D2072" s="12">
        <v>2</v>
      </c>
    </row>
    <row r="2073" spans="1:4" ht="28.8" x14ac:dyDescent="0.3">
      <c r="A2073" s="12" t="s">
        <v>84</v>
      </c>
      <c r="B2073" s="12" t="s">
        <v>2116</v>
      </c>
      <c r="C2073" s="12">
        <v>576</v>
      </c>
      <c r="D2073" s="12">
        <v>6</v>
      </c>
    </row>
    <row r="2074" spans="1:4" ht="43.2" x14ac:dyDescent="0.3">
      <c r="A2074" s="12" t="s">
        <v>84</v>
      </c>
      <c r="B2074" s="12" t="s">
        <v>2117</v>
      </c>
      <c r="C2074" s="12">
        <v>206</v>
      </c>
      <c r="D2074" s="12">
        <v>2</v>
      </c>
    </row>
    <row r="2075" spans="1:4" ht="43.2" x14ac:dyDescent="0.3">
      <c r="A2075" s="12" t="s">
        <v>84</v>
      </c>
      <c r="B2075" s="12" t="s">
        <v>2118</v>
      </c>
      <c r="C2075" s="12">
        <v>270</v>
      </c>
      <c r="D2075" s="12">
        <v>3</v>
      </c>
    </row>
    <row r="2076" spans="1:4" ht="28.8" x14ac:dyDescent="0.3">
      <c r="A2076" s="12" t="s">
        <v>84</v>
      </c>
      <c r="B2076" s="12" t="s">
        <v>2119</v>
      </c>
      <c r="C2076" s="12">
        <v>327</v>
      </c>
      <c r="D2076" s="12">
        <v>3</v>
      </c>
    </row>
    <row r="2077" spans="1:4" ht="28.8" x14ac:dyDescent="0.3">
      <c r="A2077" s="12" t="s">
        <v>84</v>
      </c>
      <c r="B2077" s="12" t="s">
        <v>2120</v>
      </c>
      <c r="C2077" s="12">
        <v>1368</v>
      </c>
      <c r="D2077" s="12">
        <v>14</v>
      </c>
    </row>
    <row r="2078" spans="1:4" ht="28.8" x14ac:dyDescent="0.3">
      <c r="A2078" s="12" t="s">
        <v>84</v>
      </c>
      <c r="B2078" s="12" t="s">
        <v>2121</v>
      </c>
      <c r="C2078" s="12">
        <v>214</v>
      </c>
      <c r="D2078" s="12">
        <v>2</v>
      </c>
    </row>
    <row r="2079" spans="1:4" ht="43.2" x14ac:dyDescent="0.3">
      <c r="A2079" s="12" t="s">
        <v>84</v>
      </c>
      <c r="B2079" s="12" t="s">
        <v>2122</v>
      </c>
      <c r="C2079" s="12">
        <v>605</v>
      </c>
      <c r="D2079" s="12">
        <v>6</v>
      </c>
    </row>
    <row r="2080" spans="1:4" ht="43.2" x14ac:dyDescent="0.3">
      <c r="A2080" s="12" t="s">
        <v>84</v>
      </c>
      <c r="B2080" s="12" t="s">
        <v>2123</v>
      </c>
      <c r="C2080" s="12">
        <v>445</v>
      </c>
      <c r="D2080" s="12">
        <v>4</v>
      </c>
    </row>
    <row r="2081" spans="1:4" ht="43.2" x14ac:dyDescent="0.3">
      <c r="A2081" s="12" t="s">
        <v>84</v>
      </c>
      <c r="B2081" s="12" t="s">
        <v>2124</v>
      </c>
      <c r="C2081" s="12">
        <v>158</v>
      </c>
      <c r="D2081" s="12">
        <v>2</v>
      </c>
    </row>
    <row r="2082" spans="1:4" ht="28.8" x14ac:dyDescent="0.3">
      <c r="A2082" s="12" t="s">
        <v>84</v>
      </c>
      <c r="B2082" s="12" t="s">
        <v>2125</v>
      </c>
      <c r="C2082" s="12">
        <v>329</v>
      </c>
      <c r="D2082" s="12">
        <v>3</v>
      </c>
    </row>
    <row r="2083" spans="1:4" ht="43.2" x14ac:dyDescent="0.3">
      <c r="A2083" s="12" t="s">
        <v>84</v>
      </c>
      <c r="B2083" s="12" t="s">
        <v>2126</v>
      </c>
      <c r="C2083" s="12">
        <v>646</v>
      </c>
      <c r="D2083" s="12">
        <v>6</v>
      </c>
    </row>
    <row r="2084" spans="1:4" ht="28.8" x14ac:dyDescent="0.3">
      <c r="A2084" s="12" t="s">
        <v>84</v>
      </c>
      <c r="B2084" s="12" t="s">
        <v>2127</v>
      </c>
      <c r="C2084" s="12">
        <v>1216</v>
      </c>
      <c r="D2084" s="12">
        <v>12</v>
      </c>
    </row>
    <row r="2085" spans="1:4" ht="43.2" x14ac:dyDescent="0.3">
      <c r="A2085" s="12" t="s">
        <v>84</v>
      </c>
      <c r="B2085" s="12" t="s">
        <v>2128</v>
      </c>
      <c r="C2085" s="12">
        <v>59</v>
      </c>
      <c r="D2085" s="12">
        <v>1</v>
      </c>
    </row>
    <row r="2086" spans="1:4" ht="43.2" x14ac:dyDescent="0.3">
      <c r="A2086" s="12" t="s">
        <v>84</v>
      </c>
      <c r="B2086" s="12" t="s">
        <v>2129</v>
      </c>
      <c r="C2086" s="12">
        <v>66</v>
      </c>
      <c r="D2086" s="12">
        <v>1</v>
      </c>
    </row>
    <row r="2087" spans="1:4" x14ac:dyDescent="0.3">
      <c r="A2087" s="12" t="s">
        <v>84</v>
      </c>
      <c r="B2087" s="12" t="s">
        <v>1068</v>
      </c>
      <c r="C2087" s="12">
        <v>344</v>
      </c>
      <c r="D2087" s="12">
        <v>3</v>
      </c>
    </row>
    <row r="2088" spans="1:4" ht="43.2" x14ac:dyDescent="0.3">
      <c r="A2088" s="12" t="s">
        <v>84</v>
      </c>
      <c r="B2088" s="12" t="s">
        <v>2130</v>
      </c>
      <c r="C2088" s="12">
        <v>341</v>
      </c>
      <c r="D2088" s="12">
        <v>3</v>
      </c>
    </row>
    <row r="2089" spans="1:4" ht="43.2" x14ac:dyDescent="0.3">
      <c r="A2089" s="12" t="s">
        <v>84</v>
      </c>
      <c r="B2089" s="12" t="s">
        <v>2131</v>
      </c>
      <c r="C2089" s="12">
        <v>167</v>
      </c>
      <c r="D2089" s="12">
        <v>2</v>
      </c>
    </row>
    <row r="2090" spans="1:4" ht="43.2" x14ac:dyDescent="0.3">
      <c r="A2090" s="12" t="s">
        <v>84</v>
      </c>
      <c r="B2090" s="12" t="s">
        <v>2132</v>
      </c>
      <c r="C2090" s="12">
        <v>475</v>
      </c>
      <c r="D2090" s="12">
        <v>5</v>
      </c>
    </row>
    <row r="2091" spans="1:4" ht="28.8" x14ac:dyDescent="0.3">
      <c r="A2091" s="12" t="s">
        <v>85</v>
      </c>
      <c r="B2091" s="12" t="s">
        <v>2133</v>
      </c>
      <c r="C2091" s="12">
        <v>594</v>
      </c>
      <c r="D2091" s="12">
        <v>6</v>
      </c>
    </row>
    <row r="2092" spans="1:4" ht="28.8" x14ac:dyDescent="0.3">
      <c r="A2092" s="12" t="s">
        <v>85</v>
      </c>
      <c r="B2092" s="12" t="s">
        <v>2134</v>
      </c>
      <c r="C2092" s="12">
        <v>1111</v>
      </c>
      <c r="D2092" s="12">
        <v>11</v>
      </c>
    </row>
    <row r="2093" spans="1:4" x14ac:dyDescent="0.3">
      <c r="A2093" s="12" t="s">
        <v>85</v>
      </c>
      <c r="B2093" s="12" t="s">
        <v>2135</v>
      </c>
      <c r="C2093" s="12">
        <v>1055</v>
      </c>
      <c r="D2093" s="12">
        <v>11</v>
      </c>
    </row>
    <row r="2094" spans="1:4" ht="28.8" x14ac:dyDescent="0.3">
      <c r="A2094" s="12" t="s">
        <v>85</v>
      </c>
      <c r="B2094" s="12" t="s">
        <v>2136</v>
      </c>
      <c r="C2094" s="12">
        <v>416</v>
      </c>
      <c r="D2094" s="12">
        <v>4</v>
      </c>
    </row>
    <row r="2095" spans="1:4" ht="43.2" x14ac:dyDescent="0.3">
      <c r="A2095" s="12" t="s">
        <v>85</v>
      </c>
      <c r="B2095" s="12" t="s">
        <v>2137</v>
      </c>
      <c r="C2095" s="12">
        <v>753</v>
      </c>
      <c r="D2095" s="12">
        <v>8</v>
      </c>
    </row>
    <row r="2096" spans="1:4" ht="43.2" x14ac:dyDescent="0.3">
      <c r="A2096" s="12" t="s">
        <v>85</v>
      </c>
      <c r="B2096" s="12" t="s">
        <v>2138</v>
      </c>
      <c r="C2096" s="12">
        <v>495</v>
      </c>
      <c r="D2096" s="12">
        <v>5</v>
      </c>
    </row>
    <row r="2097" spans="1:4" ht="43.2" x14ac:dyDescent="0.3">
      <c r="A2097" s="12" t="s">
        <v>85</v>
      </c>
      <c r="B2097" s="12" t="s">
        <v>2139</v>
      </c>
      <c r="C2097" s="12">
        <v>953</v>
      </c>
      <c r="D2097" s="12">
        <v>10</v>
      </c>
    </row>
    <row r="2098" spans="1:4" ht="28.8" x14ac:dyDescent="0.3">
      <c r="A2098" s="12" t="s">
        <v>85</v>
      </c>
      <c r="B2098" s="12" t="s">
        <v>1949</v>
      </c>
      <c r="C2098" s="12">
        <v>845</v>
      </c>
      <c r="D2098" s="12">
        <v>8</v>
      </c>
    </row>
    <row r="2099" spans="1:4" ht="43.2" x14ac:dyDescent="0.3">
      <c r="A2099" s="12" t="s">
        <v>85</v>
      </c>
      <c r="B2099" s="12" t="s">
        <v>2140</v>
      </c>
      <c r="C2099" s="12">
        <v>944</v>
      </c>
      <c r="D2099" s="12">
        <v>9</v>
      </c>
    </row>
    <row r="2100" spans="1:4" x14ac:dyDescent="0.3">
      <c r="A2100" s="12" t="s">
        <v>85</v>
      </c>
      <c r="B2100" s="12" t="s">
        <v>2141</v>
      </c>
      <c r="C2100" s="12">
        <v>1533</v>
      </c>
      <c r="D2100" s="12">
        <v>15</v>
      </c>
    </row>
    <row r="2101" spans="1:4" ht="28.8" x14ac:dyDescent="0.3">
      <c r="A2101" s="12" t="s">
        <v>85</v>
      </c>
      <c r="B2101" s="12" t="s">
        <v>2142</v>
      </c>
      <c r="C2101" s="12">
        <v>2946</v>
      </c>
      <c r="D2101" s="12">
        <v>29</v>
      </c>
    </row>
    <row r="2102" spans="1:4" ht="28.8" x14ac:dyDescent="0.3">
      <c r="A2102" s="12" t="s">
        <v>85</v>
      </c>
      <c r="B2102" s="12" t="s">
        <v>2143</v>
      </c>
      <c r="C2102" s="12">
        <v>611</v>
      </c>
      <c r="D2102" s="12">
        <v>6</v>
      </c>
    </row>
    <row r="2103" spans="1:4" ht="28.8" x14ac:dyDescent="0.3">
      <c r="A2103" s="12" t="s">
        <v>85</v>
      </c>
      <c r="B2103" s="12" t="s">
        <v>2144</v>
      </c>
      <c r="C2103" s="12">
        <v>1182</v>
      </c>
      <c r="D2103" s="12">
        <v>12</v>
      </c>
    </row>
    <row r="2104" spans="1:4" ht="43.2" x14ac:dyDescent="0.3">
      <c r="A2104" s="12" t="s">
        <v>85</v>
      </c>
      <c r="B2104" s="12" t="s">
        <v>1367</v>
      </c>
      <c r="C2104" s="12">
        <v>1206</v>
      </c>
      <c r="D2104" s="12">
        <v>12</v>
      </c>
    </row>
    <row r="2105" spans="1:4" ht="43.2" x14ac:dyDescent="0.3">
      <c r="A2105" s="12" t="s">
        <v>85</v>
      </c>
      <c r="B2105" s="12" t="s">
        <v>2145</v>
      </c>
      <c r="C2105" s="12">
        <v>1690</v>
      </c>
      <c r="D2105" s="12">
        <v>17</v>
      </c>
    </row>
    <row r="2106" spans="1:4" ht="43.2" x14ac:dyDescent="0.3">
      <c r="A2106" s="12" t="s">
        <v>86</v>
      </c>
      <c r="B2106" s="12" t="s">
        <v>2146</v>
      </c>
      <c r="C2106" s="12">
        <v>225</v>
      </c>
      <c r="D2106" s="12">
        <v>2</v>
      </c>
    </row>
    <row r="2107" spans="1:4" ht="57.6" x14ac:dyDescent="0.3">
      <c r="A2107" s="12" t="s">
        <v>86</v>
      </c>
      <c r="B2107" s="12" t="s">
        <v>2147</v>
      </c>
      <c r="C2107" s="12">
        <v>381</v>
      </c>
      <c r="D2107" s="12">
        <v>4</v>
      </c>
    </row>
    <row r="2108" spans="1:4" ht="57.6" x14ac:dyDescent="0.3">
      <c r="A2108" s="12" t="s">
        <v>86</v>
      </c>
      <c r="B2108" s="12" t="s">
        <v>2148</v>
      </c>
      <c r="C2108" s="12">
        <v>280</v>
      </c>
      <c r="D2108" s="12">
        <v>3</v>
      </c>
    </row>
    <row r="2109" spans="1:4" ht="43.2" x14ac:dyDescent="0.3">
      <c r="A2109" s="12" t="s">
        <v>86</v>
      </c>
      <c r="B2109" s="12" t="s">
        <v>2149</v>
      </c>
      <c r="C2109" s="12">
        <v>198</v>
      </c>
      <c r="D2109" s="12">
        <v>2</v>
      </c>
    </row>
    <row r="2110" spans="1:4" ht="43.2" x14ac:dyDescent="0.3">
      <c r="A2110" s="12" t="s">
        <v>86</v>
      </c>
      <c r="B2110" s="12" t="s">
        <v>1785</v>
      </c>
      <c r="C2110" s="12">
        <v>543</v>
      </c>
      <c r="D2110" s="12">
        <v>5</v>
      </c>
    </row>
    <row r="2111" spans="1:4" ht="28.8" x14ac:dyDescent="0.3">
      <c r="A2111" s="12" t="s">
        <v>86</v>
      </c>
      <c r="B2111" s="12" t="s">
        <v>2150</v>
      </c>
      <c r="C2111" s="12">
        <v>714</v>
      </c>
      <c r="D2111" s="12">
        <v>7</v>
      </c>
    </row>
    <row r="2112" spans="1:4" ht="43.2" x14ac:dyDescent="0.3">
      <c r="A2112" s="12" t="s">
        <v>86</v>
      </c>
      <c r="B2112" s="12" t="s">
        <v>2151</v>
      </c>
      <c r="C2112" s="12">
        <v>477</v>
      </c>
      <c r="D2112" s="12">
        <v>5</v>
      </c>
    </row>
    <row r="2113" spans="1:4" ht="43.2" x14ac:dyDescent="0.3">
      <c r="A2113" s="12" t="s">
        <v>86</v>
      </c>
      <c r="B2113" s="12" t="s">
        <v>2152</v>
      </c>
      <c r="C2113" s="12">
        <v>229</v>
      </c>
      <c r="D2113" s="12">
        <v>2</v>
      </c>
    </row>
    <row r="2114" spans="1:4" ht="43.2" x14ac:dyDescent="0.3">
      <c r="A2114" s="12" t="s">
        <v>86</v>
      </c>
      <c r="B2114" s="12" t="s">
        <v>2153</v>
      </c>
      <c r="C2114" s="12">
        <v>500</v>
      </c>
      <c r="D2114" s="12">
        <v>5</v>
      </c>
    </row>
    <row r="2115" spans="1:4" ht="28.8" x14ac:dyDescent="0.3">
      <c r="A2115" s="12" t="s">
        <v>86</v>
      </c>
      <c r="B2115" s="12" t="s">
        <v>2154</v>
      </c>
      <c r="C2115" s="12">
        <v>487</v>
      </c>
      <c r="D2115" s="12">
        <v>5</v>
      </c>
    </row>
    <row r="2116" spans="1:4" ht="28.8" x14ac:dyDescent="0.3">
      <c r="A2116" s="12" t="s">
        <v>86</v>
      </c>
      <c r="B2116" s="12" t="s">
        <v>1078</v>
      </c>
      <c r="C2116" s="12">
        <v>1172</v>
      </c>
      <c r="D2116" s="12">
        <v>12</v>
      </c>
    </row>
    <row r="2117" spans="1:4" x14ac:dyDescent="0.3">
      <c r="A2117" s="12" t="s">
        <v>86</v>
      </c>
      <c r="B2117" s="12" t="s">
        <v>2155</v>
      </c>
      <c r="C2117" s="12">
        <v>441</v>
      </c>
      <c r="D2117" s="12">
        <v>4</v>
      </c>
    </row>
    <row r="2118" spans="1:4" x14ac:dyDescent="0.3">
      <c r="A2118" s="12" t="s">
        <v>86</v>
      </c>
      <c r="B2118" s="12" t="s">
        <v>2156</v>
      </c>
      <c r="C2118" s="12">
        <v>424</v>
      </c>
      <c r="D2118" s="12">
        <v>4</v>
      </c>
    </row>
    <row r="2119" spans="1:4" ht="43.2" x14ac:dyDescent="0.3">
      <c r="A2119" s="12" t="s">
        <v>86</v>
      </c>
      <c r="B2119" s="12" t="s">
        <v>2157</v>
      </c>
      <c r="C2119" s="12">
        <v>701</v>
      </c>
      <c r="D2119" s="12">
        <v>7</v>
      </c>
    </row>
    <row r="2120" spans="1:4" ht="28.8" x14ac:dyDescent="0.3">
      <c r="A2120" s="12" t="s">
        <v>86</v>
      </c>
      <c r="B2120" s="12" t="s">
        <v>2158</v>
      </c>
      <c r="C2120" s="12">
        <v>261</v>
      </c>
      <c r="D2120" s="12">
        <v>3</v>
      </c>
    </row>
    <row r="2121" spans="1:4" ht="43.2" x14ac:dyDescent="0.3">
      <c r="A2121" s="12" t="s">
        <v>86</v>
      </c>
      <c r="B2121" s="12" t="s">
        <v>2159</v>
      </c>
      <c r="C2121" s="12">
        <v>838</v>
      </c>
      <c r="D2121" s="12">
        <v>8</v>
      </c>
    </row>
    <row r="2122" spans="1:4" ht="43.2" x14ac:dyDescent="0.3">
      <c r="A2122" s="12" t="s">
        <v>86</v>
      </c>
      <c r="B2122" s="12" t="s">
        <v>2160</v>
      </c>
      <c r="C2122" s="12">
        <v>535</v>
      </c>
      <c r="D2122" s="12">
        <v>5</v>
      </c>
    </row>
    <row r="2123" spans="1:4" x14ac:dyDescent="0.3">
      <c r="A2123" s="12" t="s">
        <v>86</v>
      </c>
      <c r="B2123" s="12" t="s">
        <v>2161</v>
      </c>
      <c r="C2123" s="12">
        <v>629</v>
      </c>
      <c r="D2123" s="12">
        <v>6</v>
      </c>
    </row>
    <row r="2124" spans="1:4" ht="57.6" x14ac:dyDescent="0.3">
      <c r="A2124" s="12" t="s">
        <v>86</v>
      </c>
      <c r="B2124" s="12" t="s">
        <v>2162</v>
      </c>
      <c r="C2124" s="12">
        <v>968</v>
      </c>
      <c r="D2124" s="12">
        <v>10</v>
      </c>
    </row>
    <row r="2125" spans="1:4" ht="57.6" x14ac:dyDescent="0.3">
      <c r="A2125" s="12" t="s">
        <v>86</v>
      </c>
      <c r="B2125" s="12" t="s">
        <v>2163</v>
      </c>
      <c r="C2125" s="12">
        <v>617</v>
      </c>
      <c r="D2125" s="12">
        <v>6</v>
      </c>
    </row>
    <row r="2126" spans="1:4" ht="43.2" x14ac:dyDescent="0.3">
      <c r="A2126" s="12" t="s">
        <v>86</v>
      </c>
      <c r="B2126" s="12" t="s">
        <v>2164</v>
      </c>
      <c r="C2126" s="12">
        <v>115</v>
      </c>
      <c r="D2126" s="12">
        <v>1</v>
      </c>
    </row>
    <row r="2127" spans="1:4" ht="43.2" x14ac:dyDescent="0.3">
      <c r="A2127" s="12" t="s">
        <v>86</v>
      </c>
      <c r="B2127" s="12" t="s">
        <v>2165</v>
      </c>
      <c r="C2127" s="12">
        <v>183</v>
      </c>
      <c r="D2127" s="12">
        <v>2</v>
      </c>
    </row>
    <row r="2128" spans="1:4" ht="28.8" x14ac:dyDescent="0.3">
      <c r="A2128" s="12" t="s">
        <v>86</v>
      </c>
      <c r="B2128" s="12" t="s">
        <v>2166</v>
      </c>
      <c r="C2128" s="12">
        <v>220</v>
      </c>
      <c r="D2128" s="12">
        <v>2</v>
      </c>
    </row>
    <row r="2129" spans="1:4" ht="28.8" x14ac:dyDescent="0.3">
      <c r="A2129" s="12" t="s">
        <v>86</v>
      </c>
      <c r="B2129" s="12" t="s">
        <v>2167</v>
      </c>
      <c r="C2129" s="12">
        <v>618</v>
      </c>
      <c r="D2129" s="12">
        <v>6</v>
      </c>
    </row>
    <row r="2130" spans="1:4" ht="28.8" x14ac:dyDescent="0.3">
      <c r="A2130" s="12" t="s">
        <v>86</v>
      </c>
      <c r="B2130" s="12" t="s">
        <v>2168</v>
      </c>
      <c r="C2130" s="12">
        <v>930</v>
      </c>
      <c r="D2130" s="12">
        <v>9</v>
      </c>
    </row>
    <row r="2131" spans="1:4" ht="28.8" x14ac:dyDescent="0.3">
      <c r="A2131" s="12" t="s">
        <v>86</v>
      </c>
      <c r="B2131" s="12" t="s">
        <v>2169</v>
      </c>
      <c r="C2131" s="12">
        <v>221</v>
      </c>
      <c r="D2131" s="12">
        <v>2</v>
      </c>
    </row>
    <row r="2132" spans="1:4" ht="43.2" x14ac:dyDescent="0.3">
      <c r="A2132" s="12" t="s">
        <v>86</v>
      </c>
      <c r="B2132" s="12" t="s">
        <v>2170</v>
      </c>
      <c r="C2132" s="12">
        <v>475</v>
      </c>
      <c r="D2132" s="12">
        <v>5</v>
      </c>
    </row>
    <row r="2133" spans="1:4" ht="43.2" x14ac:dyDescent="0.3">
      <c r="A2133" s="12" t="s">
        <v>86</v>
      </c>
      <c r="B2133" s="12" t="s">
        <v>2171</v>
      </c>
      <c r="C2133" s="12">
        <v>248</v>
      </c>
      <c r="D2133" s="12">
        <v>2</v>
      </c>
    </row>
    <row r="2134" spans="1:4" ht="28.8" x14ac:dyDescent="0.3">
      <c r="A2134" s="12" t="s">
        <v>86</v>
      </c>
      <c r="B2134" s="12" t="s">
        <v>2172</v>
      </c>
      <c r="C2134" s="12">
        <v>744</v>
      </c>
      <c r="D2134" s="12">
        <v>7</v>
      </c>
    </row>
    <row r="2135" spans="1:4" ht="28.8" x14ac:dyDescent="0.3">
      <c r="A2135" s="12" t="s">
        <v>86</v>
      </c>
      <c r="B2135" s="12" t="s">
        <v>2173</v>
      </c>
      <c r="C2135" s="12">
        <v>1119</v>
      </c>
      <c r="D2135" s="12">
        <v>11</v>
      </c>
    </row>
    <row r="2136" spans="1:4" ht="28.8" x14ac:dyDescent="0.3">
      <c r="A2136" s="12" t="s">
        <v>86</v>
      </c>
      <c r="B2136" s="12" t="s">
        <v>2174</v>
      </c>
      <c r="C2136" s="12">
        <v>848</v>
      </c>
      <c r="D2136" s="12">
        <v>8</v>
      </c>
    </row>
    <row r="2137" spans="1:4" x14ac:dyDescent="0.3">
      <c r="A2137" s="12" t="s">
        <v>86</v>
      </c>
      <c r="B2137" s="12" t="s">
        <v>2175</v>
      </c>
      <c r="C2137" s="12">
        <v>208</v>
      </c>
      <c r="D2137" s="12">
        <v>2</v>
      </c>
    </row>
    <row r="2138" spans="1:4" ht="28.8" x14ac:dyDescent="0.3">
      <c r="A2138" s="12" t="s">
        <v>86</v>
      </c>
      <c r="B2138" s="12" t="s">
        <v>2176</v>
      </c>
      <c r="C2138" s="12">
        <v>529</v>
      </c>
      <c r="D2138" s="12">
        <v>5</v>
      </c>
    </row>
    <row r="2139" spans="1:4" ht="43.2" x14ac:dyDescent="0.3">
      <c r="A2139" s="12" t="s">
        <v>86</v>
      </c>
      <c r="B2139" s="12" t="s">
        <v>2177</v>
      </c>
      <c r="C2139" s="12">
        <v>313</v>
      </c>
      <c r="D2139" s="12">
        <v>3</v>
      </c>
    </row>
    <row r="2140" spans="1:4" x14ac:dyDescent="0.3">
      <c r="A2140" s="12" t="s">
        <v>86</v>
      </c>
      <c r="B2140" s="12" t="s">
        <v>2178</v>
      </c>
      <c r="C2140" s="12">
        <v>363</v>
      </c>
      <c r="D2140" s="12">
        <v>4</v>
      </c>
    </row>
    <row r="2141" spans="1:4" ht="43.2" x14ac:dyDescent="0.3">
      <c r="A2141" s="12" t="s">
        <v>86</v>
      </c>
      <c r="B2141" s="12" t="s">
        <v>2179</v>
      </c>
      <c r="C2141" s="12">
        <v>293</v>
      </c>
      <c r="D2141" s="12">
        <v>3</v>
      </c>
    </row>
    <row r="2142" spans="1:4" ht="28.8" x14ac:dyDescent="0.3">
      <c r="A2142" s="12" t="s">
        <v>86</v>
      </c>
      <c r="B2142" s="12" t="s">
        <v>2180</v>
      </c>
      <c r="C2142" s="12">
        <v>657</v>
      </c>
      <c r="D2142" s="12">
        <v>7</v>
      </c>
    </row>
    <row r="2143" spans="1:4" ht="43.2" x14ac:dyDescent="0.3">
      <c r="A2143" s="12" t="s">
        <v>86</v>
      </c>
      <c r="B2143" s="12" t="s">
        <v>2181</v>
      </c>
      <c r="C2143" s="12">
        <v>443</v>
      </c>
      <c r="D2143" s="12">
        <v>4</v>
      </c>
    </row>
    <row r="2144" spans="1:4" ht="28.8" x14ac:dyDescent="0.3">
      <c r="A2144" s="12" t="s">
        <v>86</v>
      </c>
      <c r="B2144" s="12" t="s">
        <v>2182</v>
      </c>
      <c r="C2144" s="12">
        <v>566</v>
      </c>
      <c r="D2144" s="12">
        <v>6</v>
      </c>
    </row>
    <row r="2145" spans="1:4" ht="28.8" x14ac:dyDescent="0.3">
      <c r="A2145" s="12" t="s">
        <v>86</v>
      </c>
      <c r="B2145" s="12" t="s">
        <v>2183</v>
      </c>
      <c r="C2145" s="12">
        <v>953</v>
      </c>
      <c r="D2145" s="12">
        <v>10</v>
      </c>
    </row>
    <row r="2146" spans="1:4" ht="28.8" x14ac:dyDescent="0.3">
      <c r="A2146" s="12" t="s">
        <v>86</v>
      </c>
      <c r="B2146" s="12" t="s">
        <v>2184</v>
      </c>
      <c r="C2146" s="12">
        <v>965</v>
      </c>
      <c r="D2146" s="12">
        <v>10</v>
      </c>
    </row>
    <row r="2147" spans="1:4" ht="43.2" x14ac:dyDescent="0.3">
      <c r="A2147" s="12" t="s">
        <v>87</v>
      </c>
      <c r="B2147" s="12" t="s">
        <v>2185</v>
      </c>
      <c r="C2147" s="12">
        <v>266</v>
      </c>
      <c r="D2147" s="12">
        <v>3</v>
      </c>
    </row>
    <row r="2148" spans="1:4" ht="57.6" x14ac:dyDescent="0.3">
      <c r="A2148" s="12" t="s">
        <v>87</v>
      </c>
      <c r="B2148" s="12" t="s">
        <v>2186</v>
      </c>
      <c r="C2148" s="12">
        <v>414</v>
      </c>
      <c r="D2148" s="12">
        <v>4</v>
      </c>
    </row>
    <row r="2149" spans="1:4" ht="72" x14ac:dyDescent="0.3">
      <c r="A2149" s="12" t="s">
        <v>87</v>
      </c>
      <c r="B2149" s="12" t="s">
        <v>2187</v>
      </c>
      <c r="C2149" s="12">
        <v>499</v>
      </c>
      <c r="D2149" s="12">
        <v>5</v>
      </c>
    </row>
    <row r="2150" spans="1:4" ht="43.2" x14ac:dyDescent="0.3">
      <c r="A2150" s="12" t="s">
        <v>87</v>
      </c>
      <c r="B2150" s="12" t="s">
        <v>2188</v>
      </c>
      <c r="C2150" s="12">
        <v>654</v>
      </c>
      <c r="D2150" s="12">
        <v>7</v>
      </c>
    </row>
    <row r="2151" spans="1:4" ht="72" x14ac:dyDescent="0.3">
      <c r="A2151" s="12" t="s">
        <v>87</v>
      </c>
      <c r="B2151" s="12" t="s">
        <v>2189</v>
      </c>
      <c r="C2151" s="12">
        <v>526</v>
      </c>
      <c r="D2151" s="12">
        <v>5</v>
      </c>
    </row>
    <row r="2152" spans="1:4" ht="72" x14ac:dyDescent="0.3">
      <c r="A2152" s="12" t="s">
        <v>87</v>
      </c>
      <c r="B2152" s="12" t="s">
        <v>2190</v>
      </c>
      <c r="C2152" s="12">
        <v>160</v>
      </c>
      <c r="D2152" s="12">
        <v>2</v>
      </c>
    </row>
    <row r="2153" spans="1:4" ht="43.2" x14ac:dyDescent="0.3">
      <c r="A2153" s="12" t="s">
        <v>87</v>
      </c>
      <c r="B2153" s="12" t="s">
        <v>2191</v>
      </c>
      <c r="C2153" s="12">
        <v>924</v>
      </c>
      <c r="D2153" s="12">
        <v>9</v>
      </c>
    </row>
    <row r="2154" spans="1:4" ht="28.8" x14ac:dyDescent="0.3">
      <c r="A2154" s="12" t="s">
        <v>87</v>
      </c>
      <c r="B2154" s="12" t="s">
        <v>2192</v>
      </c>
      <c r="C2154" s="12">
        <v>1237</v>
      </c>
      <c r="D2154" s="12">
        <v>12</v>
      </c>
    </row>
    <row r="2155" spans="1:4" ht="28.8" x14ac:dyDescent="0.3">
      <c r="A2155" s="12" t="s">
        <v>87</v>
      </c>
      <c r="B2155" s="12" t="s">
        <v>2193</v>
      </c>
      <c r="C2155" s="12">
        <v>657</v>
      </c>
      <c r="D2155" s="12">
        <v>7</v>
      </c>
    </row>
    <row r="2156" spans="1:4" ht="28.8" x14ac:dyDescent="0.3">
      <c r="A2156" s="12" t="s">
        <v>87</v>
      </c>
      <c r="B2156" s="12" t="s">
        <v>2194</v>
      </c>
      <c r="C2156" s="12">
        <v>448</v>
      </c>
      <c r="D2156" s="12">
        <v>4</v>
      </c>
    </row>
    <row r="2157" spans="1:4" ht="28.8" x14ac:dyDescent="0.3">
      <c r="A2157" s="12" t="s">
        <v>87</v>
      </c>
      <c r="B2157" s="12" t="s">
        <v>2195</v>
      </c>
      <c r="C2157" s="12">
        <v>461</v>
      </c>
      <c r="D2157" s="12">
        <v>5</v>
      </c>
    </row>
    <row r="2158" spans="1:4" ht="28.8" x14ac:dyDescent="0.3">
      <c r="A2158" s="12" t="s">
        <v>87</v>
      </c>
      <c r="B2158" s="12" t="s">
        <v>2196</v>
      </c>
      <c r="C2158" s="12">
        <v>350</v>
      </c>
      <c r="D2158" s="12">
        <v>4</v>
      </c>
    </row>
    <row r="2159" spans="1:4" ht="57.6" x14ac:dyDescent="0.3">
      <c r="A2159" s="12" t="s">
        <v>87</v>
      </c>
      <c r="B2159" s="12" t="s">
        <v>2197</v>
      </c>
      <c r="C2159" s="12">
        <v>884</v>
      </c>
      <c r="D2159" s="12">
        <v>9</v>
      </c>
    </row>
    <row r="2160" spans="1:4" ht="57.6" x14ac:dyDescent="0.3">
      <c r="A2160" s="12" t="s">
        <v>87</v>
      </c>
      <c r="B2160" s="12" t="s">
        <v>2198</v>
      </c>
      <c r="C2160" s="12">
        <v>349</v>
      </c>
      <c r="D2160" s="12">
        <v>3</v>
      </c>
    </row>
    <row r="2161" spans="1:4" ht="28.8" x14ac:dyDescent="0.3">
      <c r="A2161" s="12" t="s">
        <v>87</v>
      </c>
      <c r="B2161" s="12" t="s">
        <v>1555</v>
      </c>
      <c r="C2161" s="12">
        <v>437</v>
      </c>
      <c r="D2161" s="12">
        <v>4</v>
      </c>
    </row>
    <row r="2162" spans="1:4" ht="43.2" x14ac:dyDescent="0.3">
      <c r="A2162" s="12" t="s">
        <v>87</v>
      </c>
      <c r="B2162" s="12" t="s">
        <v>2199</v>
      </c>
      <c r="C2162" s="12">
        <v>1023</v>
      </c>
      <c r="D2162" s="12">
        <v>10</v>
      </c>
    </row>
    <row r="2163" spans="1:4" x14ac:dyDescent="0.3">
      <c r="A2163" s="12" t="s">
        <v>87</v>
      </c>
      <c r="B2163" s="12" t="s">
        <v>1068</v>
      </c>
      <c r="C2163" s="12">
        <v>223</v>
      </c>
      <c r="D2163" s="12">
        <v>2</v>
      </c>
    </row>
    <row r="2164" spans="1:4" ht="43.2" x14ac:dyDescent="0.3">
      <c r="A2164" s="12" t="s">
        <v>88</v>
      </c>
      <c r="B2164" s="12" t="s">
        <v>2200</v>
      </c>
      <c r="C2164" s="12">
        <v>252</v>
      </c>
      <c r="D2164" s="12">
        <v>3</v>
      </c>
    </row>
    <row r="2165" spans="1:4" ht="43.2" x14ac:dyDescent="0.3">
      <c r="A2165" s="12" t="s">
        <v>88</v>
      </c>
      <c r="B2165" s="12" t="s">
        <v>2201</v>
      </c>
      <c r="C2165" s="12">
        <v>258</v>
      </c>
      <c r="D2165" s="12">
        <v>3</v>
      </c>
    </row>
    <row r="2166" spans="1:4" ht="57.6" x14ac:dyDescent="0.3">
      <c r="A2166" s="12" t="s">
        <v>88</v>
      </c>
      <c r="B2166" s="12" t="s">
        <v>2202</v>
      </c>
      <c r="C2166" s="12">
        <v>548</v>
      </c>
      <c r="D2166" s="12">
        <v>5</v>
      </c>
    </row>
    <row r="2167" spans="1:4" ht="43.2" x14ac:dyDescent="0.3">
      <c r="A2167" s="12" t="s">
        <v>88</v>
      </c>
      <c r="B2167" s="12" t="s">
        <v>2203</v>
      </c>
      <c r="C2167" s="12">
        <v>1204</v>
      </c>
      <c r="D2167" s="12">
        <v>12</v>
      </c>
    </row>
    <row r="2168" spans="1:4" ht="72" x14ac:dyDescent="0.3">
      <c r="A2168" s="12" t="s">
        <v>88</v>
      </c>
      <c r="B2168" s="12" t="s">
        <v>2204</v>
      </c>
      <c r="C2168" s="12">
        <v>500</v>
      </c>
      <c r="D2168" s="12">
        <v>5</v>
      </c>
    </row>
    <row r="2169" spans="1:4" ht="72" x14ac:dyDescent="0.3">
      <c r="A2169" s="12" t="s">
        <v>88</v>
      </c>
      <c r="B2169" s="12" t="s">
        <v>2205</v>
      </c>
      <c r="C2169" s="12">
        <v>410</v>
      </c>
      <c r="D2169" s="12">
        <v>4</v>
      </c>
    </row>
    <row r="2170" spans="1:4" ht="43.2" x14ac:dyDescent="0.3">
      <c r="A2170" s="12" t="s">
        <v>88</v>
      </c>
      <c r="B2170" s="12" t="s">
        <v>2206</v>
      </c>
      <c r="C2170" s="12">
        <v>447</v>
      </c>
      <c r="D2170" s="12">
        <v>4</v>
      </c>
    </row>
    <row r="2171" spans="1:4" ht="43.2" x14ac:dyDescent="0.3">
      <c r="A2171" s="12" t="s">
        <v>88</v>
      </c>
      <c r="B2171" s="12" t="s">
        <v>2207</v>
      </c>
      <c r="C2171" s="12">
        <v>500</v>
      </c>
      <c r="D2171" s="12">
        <v>5</v>
      </c>
    </row>
    <row r="2172" spans="1:4" ht="43.2" x14ac:dyDescent="0.3">
      <c r="A2172" s="12" t="s">
        <v>88</v>
      </c>
      <c r="B2172" s="12" t="s">
        <v>2208</v>
      </c>
      <c r="C2172" s="12">
        <v>426</v>
      </c>
      <c r="D2172" s="12">
        <v>4</v>
      </c>
    </row>
    <row r="2173" spans="1:4" ht="43.2" x14ac:dyDescent="0.3">
      <c r="A2173" s="12" t="s">
        <v>88</v>
      </c>
      <c r="B2173" s="12" t="s">
        <v>2209</v>
      </c>
      <c r="C2173" s="12">
        <v>814</v>
      </c>
      <c r="D2173" s="12">
        <v>8</v>
      </c>
    </row>
    <row r="2174" spans="1:4" ht="28.8" x14ac:dyDescent="0.3">
      <c r="A2174" s="12" t="s">
        <v>88</v>
      </c>
      <c r="B2174" s="12" t="s">
        <v>2210</v>
      </c>
      <c r="C2174" s="12">
        <v>77</v>
      </c>
      <c r="D2174" s="12">
        <v>1</v>
      </c>
    </row>
    <row r="2175" spans="1:4" ht="28.8" x14ac:dyDescent="0.3">
      <c r="A2175" s="12" t="s">
        <v>88</v>
      </c>
      <c r="B2175" s="12" t="s">
        <v>2211</v>
      </c>
      <c r="C2175" s="12">
        <v>426</v>
      </c>
      <c r="D2175" s="12">
        <v>4</v>
      </c>
    </row>
    <row r="2176" spans="1:4" x14ac:dyDescent="0.3">
      <c r="A2176" s="12" t="s">
        <v>88</v>
      </c>
      <c r="B2176" s="12" t="s">
        <v>2212</v>
      </c>
      <c r="C2176" s="12">
        <v>275</v>
      </c>
      <c r="D2176" s="12">
        <v>3</v>
      </c>
    </row>
    <row r="2177" spans="1:4" ht="28.8" x14ac:dyDescent="0.3">
      <c r="A2177" s="12" t="s">
        <v>88</v>
      </c>
      <c r="B2177" s="12" t="s">
        <v>2213</v>
      </c>
      <c r="C2177" s="12">
        <v>507</v>
      </c>
      <c r="D2177" s="12">
        <v>5</v>
      </c>
    </row>
    <row r="2178" spans="1:4" ht="43.2" x14ac:dyDescent="0.3">
      <c r="A2178" s="12" t="s">
        <v>88</v>
      </c>
      <c r="B2178" s="12" t="s">
        <v>2214</v>
      </c>
      <c r="C2178" s="12">
        <v>1210</v>
      </c>
      <c r="D2178" s="12">
        <v>12</v>
      </c>
    </row>
    <row r="2179" spans="1:4" x14ac:dyDescent="0.3">
      <c r="A2179" s="12" t="s">
        <v>88</v>
      </c>
      <c r="B2179" s="12" t="s">
        <v>2215</v>
      </c>
      <c r="C2179" s="12">
        <v>368</v>
      </c>
      <c r="D2179" s="12">
        <v>4</v>
      </c>
    </row>
    <row r="2180" spans="1:4" ht="43.2" x14ac:dyDescent="0.3">
      <c r="A2180" s="12" t="s">
        <v>88</v>
      </c>
      <c r="B2180" s="12" t="s">
        <v>2216</v>
      </c>
      <c r="C2180" s="12">
        <v>341</v>
      </c>
      <c r="D2180" s="12">
        <v>3</v>
      </c>
    </row>
    <row r="2181" spans="1:4" ht="43.2" x14ac:dyDescent="0.3">
      <c r="A2181" s="12" t="s">
        <v>88</v>
      </c>
      <c r="B2181" s="12" t="s">
        <v>2217</v>
      </c>
      <c r="C2181" s="12">
        <v>327</v>
      </c>
      <c r="D2181" s="12">
        <v>3</v>
      </c>
    </row>
    <row r="2182" spans="1:4" ht="43.2" x14ac:dyDescent="0.3">
      <c r="A2182" s="12" t="s">
        <v>88</v>
      </c>
      <c r="B2182" s="12" t="s">
        <v>2218</v>
      </c>
      <c r="C2182" s="12">
        <v>275</v>
      </c>
      <c r="D2182" s="12">
        <v>3</v>
      </c>
    </row>
    <row r="2183" spans="1:4" ht="28.8" x14ac:dyDescent="0.3">
      <c r="A2183" s="12" t="s">
        <v>88</v>
      </c>
      <c r="B2183" s="12" t="s">
        <v>2219</v>
      </c>
      <c r="C2183" s="12">
        <v>487</v>
      </c>
      <c r="D2183" s="12">
        <v>5</v>
      </c>
    </row>
    <row r="2184" spans="1:4" ht="43.2" x14ac:dyDescent="0.3">
      <c r="A2184" s="12" t="s">
        <v>88</v>
      </c>
      <c r="B2184" s="12" t="s">
        <v>2220</v>
      </c>
      <c r="C2184" s="12">
        <v>203</v>
      </c>
      <c r="D2184" s="12">
        <v>2</v>
      </c>
    </row>
    <row r="2185" spans="1:4" x14ac:dyDescent="0.3">
      <c r="A2185" s="12" t="s">
        <v>88</v>
      </c>
      <c r="B2185" s="12" t="s">
        <v>2221</v>
      </c>
      <c r="C2185" s="12">
        <v>432</v>
      </c>
      <c r="D2185" s="12">
        <v>4</v>
      </c>
    </row>
    <row r="2186" spans="1:4" ht="43.2" x14ac:dyDescent="0.3">
      <c r="A2186" s="12" t="s">
        <v>88</v>
      </c>
      <c r="B2186" s="12" t="s">
        <v>2222</v>
      </c>
      <c r="C2186" s="12">
        <v>279</v>
      </c>
      <c r="D2186" s="12">
        <v>3</v>
      </c>
    </row>
    <row r="2187" spans="1:4" x14ac:dyDescent="0.3">
      <c r="A2187" s="12" t="s">
        <v>89</v>
      </c>
      <c r="B2187" s="12" t="s">
        <v>833</v>
      </c>
      <c r="C2187" s="12">
        <v>1327</v>
      </c>
      <c r="D2187" s="12">
        <v>13</v>
      </c>
    </row>
    <row r="2188" spans="1:4" x14ac:dyDescent="0.3">
      <c r="A2188" s="12" t="s">
        <v>89</v>
      </c>
      <c r="B2188" s="12" t="s">
        <v>834</v>
      </c>
      <c r="C2188" s="12">
        <v>911</v>
      </c>
      <c r="D2188" s="12">
        <v>9</v>
      </c>
    </row>
    <row r="2189" spans="1:4" x14ac:dyDescent="0.3">
      <c r="A2189" s="12" t="s">
        <v>89</v>
      </c>
      <c r="B2189" s="12" t="s">
        <v>835</v>
      </c>
      <c r="C2189" s="12">
        <v>978</v>
      </c>
      <c r="D2189" s="12">
        <v>10</v>
      </c>
    </row>
    <row r="2190" spans="1:4" x14ac:dyDescent="0.3">
      <c r="A2190" s="12" t="s">
        <v>89</v>
      </c>
      <c r="B2190" s="12" t="s">
        <v>836</v>
      </c>
      <c r="C2190" s="12">
        <v>1160</v>
      </c>
      <c r="D2190" s="12">
        <v>12</v>
      </c>
    </row>
    <row r="2191" spans="1:4" x14ac:dyDescent="0.3">
      <c r="A2191" s="12" t="s">
        <v>89</v>
      </c>
      <c r="B2191" s="12" t="s">
        <v>837</v>
      </c>
      <c r="C2191" s="12">
        <v>244</v>
      </c>
      <c r="D2191" s="12">
        <v>2</v>
      </c>
    </row>
    <row r="2192" spans="1:4" x14ac:dyDescent="0.3">
      <c r="A2192" s="12" t="s">
        <v>89</v>
      </c>
      <c r="B2192" s="12" t="s">
        <v>838</v>
      </c>
      <c r="C2192" s="12">
        <v>226</v>
      </c>
      <c r="D2192" s="12">
        <v>2</v>
      </c>
    </row>
    <row r="2193" spans="1:4" x14ac:dyDescent="0.3">
      <c r="A2193" s="12" t="s">
        <v>89</v>
      </c>
      <c r="B2193" s="12" t="s">
        <v>839</v>
      </c>
      <c r="C2193" s="12">
        <v>1196</v>
      </c>
      <c r="D2193" s="12">
        <v>12</v>
      </c>
    </row>
    <row r="2194" spans="1:4" x14ac:dyDescent="0.3">
      <c r="A2194" s="12" t="s">
        <v>89</v>
      </c>
      <c r="B2194" s="12" t="s">
        <v>840</v>
      </c>
      <c r="C2194" s="12">
        <v>283</v>
      </c>
      <c r="D2194" s="12">
        <v>3</v>
      </c>
    </row>
    <row r="2195" spans="1:4" x14ac:dyDescent="0.3">
      <c r="A2195" s="12" t="s">
        <v>89</v>
      </c>
      <c r="B2195" s="12" t="s">
        <v>841</v>
      </c>
      <c r="C2195" s="12">
        <v>472</v>
      </c>
      <c r="D2195" s="12">
        <v>5</v>
      </c>
    </row>
    <row r="2196" spans="1:4" x14ac:dyDescent="0.3">
      <c r="A2196" s="12" t="s">
        <v>89</v>
      </c>
      <c r="B2196" s="12" t="s">
        <v>842</v>
      </c>
      <c r="C2196" s="12">
        <v>554</v>
      </c>
      <c r="D2196" s="12">
        <v>6</v>
      </c>
    </row>
    <row r="2197" spans="1:4" ht="72" x14ac:dyDescent="0.3">
      <c r="A2197" s="12" t="s">
        <v>90</v>
      </c>
      <c r="B2197" s="12" t="s">
        <v>2223</v>
      </c>
      <c r="C2197" s="12">
        <v>310</v>
      </c>
      <c r="D2197" s="12">
        <v>3</v>
      </c>
    </row>
    <row r="2198" spans="1:4" ht="72" x14ac:dyDescent="0.3">
      <c r="A2198" s="12" t="s">
        <v>90</v>
      </c>
      <c r="B2198" s="12" t="s">
        <v>2224</v>
      </c>
      <c r="C2198" s="12">
        <v>258</v>
      </c>
      <c r="D2198" s="12">
        <v>3</v>
      </c>
    </row>
    <row r="2199" spans="1:4" ht="72" x14ac:dyDescent="0.3">
      <c r="A2199" s="12" t="s">
        <v>90</v>
      </c>
      <c r="B2199" s="12" t="s">
        <v>2225</v>
      </c>
      <c r="C2199" s="12">
        <v>263</v>
      </c>
      <c r="D2199" s="12">
        <v>3</v>
      </c>
    </row>
    <row r="2200" spans="1:4" ht="72" x14ac:dyDescent="0.3">
      <c r="A2200" s="12" t="s">
        <v>90</v>
      </c>
      <c r="B2200" s="12" t="s">
        <v>2226</v>
      </c>
      <c r="C2200" s="12">
        <v>728</v>
      </c>
      <c r="D2200" s="12">
        <v>7</v>
      </c>
    </row>
    <row r="2201" spans="1:4" ht="72" x14ac:dyDescent="0.3">
      <c r="A2201" s="12" t="s">
        <v>90</v>
      </c>
      <c r="B2201" s="12" t="s">
        <v>2227</v>
      </c>
      <c r="C2201" s="12">
        <v>587</v>
      </c>
      <c r="D2201" s="12">
        <v>6</v>
      </c>
    </row>
    <row r="2202" spans="1:4" ht="72" x14ac:dyDescent="0.3">
      <c r="A2202" s="12" t="s">
        <v>90</v>
      </c>
      <c r="B2202" s="12" t="s">
        <v>2228</v>
      </c>
      <c r="C2202" s="12">
        <v>994</v>
      </c>
      <c r="D2202" s="12">
        <v>10</v>
      </c>
    </row>
    <row r="2203" spans="1:4" ht="28.8" x14ac:dyDescent="0.3">
      <c r="A2203" s="12" t="s">
        <v>90</v>
      </c>
      <c r="B2203" s="12" t="s">
        <v>2229</v>
      </c>
      <c r="C2203" s="12">
        <v>278</v>
      </c>
      <c r="D2203" s="12">
        <v>3</v>
      </c>
    </row>
    <row r="2204" spans="1:4" x14ac:dyDescent="0.3">
      <c r="A2204" s="12" t="s">
        <v>90</v>
      </c>
      <c r="B2204" s="12" t="s">
        <v>2230</v>
      </c>
      <c r="C2204" s="12">
        <v>365</v>
      </c>
      <c r="D2204" s="12">
        <v>4</v>
      </c>
    </row>
    <row r="2205" spans="1:4" ht="57.6" x14ac:dyDescent="0.3">
      <c r="A2205" s="12" t="s">
        <v>90</v>
      </c>
      <c r="B2205" s="12" t="s">
        <v>2231</v>
      </c>
      <c r="C2205" s="12">
        <v>300</v>
      </c>
      <c r="D2205" s="12">
        <v>3</v>
      </c>
    </row>
    <row r="2206" spans="1:4" ht="57.6" x14ac:dyDescent="0.3">
      <c r="A2206" s="12" t="s">
        <v>90</v>
      </c>
      <c r="B2206" s="12" t="s">
        <v>2232</v>
      </c>
      <c r="C2206" s="12">
        <v>319</v>
      </c>
      <c r="D2206" s="12">
        <v>3</v>
      </c>
    </row>
    <row r="2207" spans="1:4" ht="43.2" x14ac:dyDescent="0.3">
      <c r="A2207" s="12" t="s">
        <v>90</v>
      </c>
      <c r="B2207" s="12" t="s">
        <v>2233</v>
      </c>
      <c r="C2207" s="12">
        <v>186</v>
      </c>
      <c r="D2207" s="12">
        <v>2</v>
      </c>
    </row>
    <row r="2208" spans="1:4" ht="28.8" x14ac:dyDescent="0.3">
      <c r="A2208" s="12" t="s">
        <v>90</v>
      </c>
      <c r="B2208" s="12" t="s">
        <v>2234</v>
      </c>
      <c r="C2208" s="12">
        <v>512</v>
      </c>
      <c r="D2208" s="12">
        <v>5</v>
      </c>
    </row>
    <row r="2209" spans="1:4" x14ac:dyDescent="0.3">
      <c r="A2209" s="12" t="s">
        <v>90</v>
      </c>
      <c r="B2209" s="12" t="s">
        <v>2235</v>
      </c>
      <c r="C2209" s="12">
        <v>165</v>
      </c>
      <c r="D2209" s="12">
        <v>2</v>
      </c>
    </row>
    <row r="2210" spans="1:4" ht="43.2" x14ac:dyDescent="0.3">
      <c r="A2210" s="12" t="s">
        <v>90</v>
      </c>
      <c r="B2210" s="12" t="s">
        <v>2236</v>
      </c>
      <c r="C2210" s="12">
        <v>340</v>
      </c>
      <c r="D2210" s="12">
        <v>3</v>
      </c>
    </row>
    <row r="2211" spans="1:4" ht="43.2" x14ac:dyDescent="0.3">
      <c r="A2211" s="12" t="s">
        <v>90</v>
      </c>
      <c r="B2211" s="12" t="s">
        <v>2237</v>
      </c>
      <c r="C2211" s="12">
        <v>384</v>
      </c>
      <c r="D2211" s="12">
        <v>4</v>
      </c>
    </row>
    <row r="2212" spans="1:4" ht="28.8" x14ac:dyDescent="0.3">
      <c r="A2212" s="12" t="s">
        <v>90</v>
      </c>
      <c r="B2212" s="12" t="s">
        <v>2238</v>
      </c>
      <c r="C2212" s="12">
        <v>322</v>
      </c>
      <c r="D2212" s="12">
        <v>3</v>
      </c>
    </row>
    <row r="2213" spans="1:4" ht="43.2" x14ac:dyDescent="0.3">
      <c r="A2213" s="12" t="s">
        <v>90</v>
      </c>
      <c r="B2213" s="12" t="s">
        <v>2239</v>
      </c>
      <c r="C2213" s="12">
        <v>142</v>
      </c>
      <c r="D2213" s="12">
        <v>1</v>
      </c>
    </row>
    <row r="2214" spans="1:4" ht="43.2" x14ac:dyDescent="0.3">
      <c r="A2214" s="12" t="s">
        <v>90</v>
      </c>
      <c r="B2214" s="12" t="s">
        <v>2240</v>
      </c>
      <c r="C2214" s="12">
        <v>298</v>
      </c>
      <c r="D2214" s="12">
        <v>3</v>
      </c>
    </row>
    <row r="2215" spans="1:4" ht="43.2" x14ac:dyDescent="0.3">
      <c r="A2215" s="12" t="s">
        <v>90</v>
      </c>
      <c r="B2215" s="12" t="s">
        <v>2241</v>
      </c>
      <c r="C2215" s="12">
        <v>267</v>
      </c>
      <c r="D2215" s="12">
        <v>3</v>
      </c>
    </row>
    <row r="2216" spans="1:4" ht="43.2" x14ac:dyDescent="0.3">
      <c r="A2216" s="12" t="s">
        <v>90</v>
      </c>
      <c r="B2216" s="12" t="s">
        <v>2242</v>
      </c>
      <c r="C2216" s="12">
        <v>200</v>
      </c>
      <c r="D2216" s="12">
        <v>2</v>
      </c>
    </row>
    <row r="2217" spans="1:4" ht="43.2" x14ac:dyDescent="0.3">
      <c r="A2217" s="12" t="s">
        <v>90</v>
      </c>
      <c r="B2217" s="12" t="s">
        <v>2243</v>
      </c>
      <c r="C2217" s="12">
        <v>274</v>
      </c>
      <c r="D2217" s="12">
        <v>3</v>
      </c>
    </row>
    <row r="2218" spans="1:4" x14ac:dyDescent="0.3">
      <c r="A2218" s="12" t="s">
        <v>90</v>
      </c>
      <c r="B2218" s="12" t="s">
        <v>2244</v>
      </c>
      <c r="C2218" s="12">
        <v>277</v>
      </c>
      <c r="D2218" s="12">
        <v>3</v>
      </c>
    </row>
    <row r="2219" spans="1:4" ht="28.8" x14ac:dyDescent="0.3">
      <c r="A2219" s="12" t="s">
        <v>90</v>
      </c>
      <c r="B2219" s="12" t="s">
        <v>2245</v>
      </c>
      <c r="C2219" s="12">
        <v>394</v>
      </c>
      <c r="D2219" s="12">
        <v>4</v>
      </c>
    </row>
    <row r="2220" spans="1:4" ht="43.2" x14ac:dyDescent="0.3">
      <c r="A2220" s="12" t="s">
        <v>91</v>
      </c>
      <c r="B2220" s="12" t="s">
        <v>2246</v>
      </c>
      <c r="C2220" s="12">
        <v>329</v>
      </c>
      <c r="D2220" s="12">
        <v>3</v>
      </c>
    </row>
    <row r="2221" spans="1:4" ht="43.2" x14ac:dyDescent="0.3">
      <c r="A2221" s="12" t="s">
        <v>91</v>
      </c>
      <c r="B2221" s="12" t="s">
        <v>2247</v>
      </c>
      <c r="C2221" s="12">
        <v>166</v>
      </c>
      <c r="D2221" s="12">
        <v>2</v>
      </c>
    </row>
    <row r="2222" spans="1:4" ht="28.8" x14ac:dyDescent="0.3">
      <c r="A2222" s="12" t="s">
        <v>91</v>
      </c>
      <c r="B2222" s="12" t="s">
        <v>2248</v>
      </c>
      <c r="C2222" s="12">
        <v>652</v>
      </c>
      <c r="D2222" s="12">
        <v>7</v>
      </c>
    </row>
    <row r="2223" spans="1:4" ht="43.2" x14ac:dyDescent="0.3">
      <c r="A2223" s="12" t="s">
        <v>91</v>
      </c>
      <c r="B2223" s="12" t="s">
        <v>2249</v>
      </c>
      <c r="C2223" s="12">
        <v>498</v>
      </c>
      <c r="D2223" s="12">
        <v>5</v>
      </c>
    </row>
    <row r="2224" spans="1:4" ht="28.8" x14ac:dyDescent="0.3">
      <c r="A2224" s="12" t="s">
        <v>91</v>
      </c>
      <c r="B2224" s="12" t="s">
        <v>2250</v>
      </c>
      <c r="C2224" s="12">
        <v>191</v>
      </c>
      <c r="D2224" s="12">
        <v>2</v>
      </c>
    </row>
    <row r="2225" spans="1:4" ht="43.2" x14ac:dyDescent="0.3">
      <c r="A2225" s="12" t="s">
        <v>91</v>
      </c>
      <c r="B2225" s="12" t="s">
        <v>2251</v>
      </c>
      <c r="C2225" s="12">
        <v>169</v>
      </c>
      <c r="D2225" s="12">
        <v>2</v>
      </c>
    </row>
    <row r="2226" spans="1:4" x14ac:dyDescent="0.3">
      <c r="A2226" s="12" t="s">
        <v>91</v>
      </c>
      <c r="B2226" s="12" t="s">
        <v>2252</v>
      </c>
      <c r="C2226" s="12">
        <v>105</v>
      </c>
      <c r="D2226" s="12">
        <v>1</v>
      </c>
    </row>
    <row r="2227" spans="1:4" ht="43.2" x14ac:dyDescent="0.3">
      <c r="A2227" s="12" t="s">
        <v>91</v>
      </c>
      <c r="B2227" s="12" t="s">
        <v>2253</v>
      </c>
      <c r="C2227" s="12">
        <v>223</v>
      </c>
      <c r="D2227" s="12">
        <v>2</v>
      </c>
    </row>
    <row r="2228" spans="1:4" ht="43.2" x14ac:dyDescent="0.3">
      <c r="A2228" s="12" t="s">
        <v>91</v>
      </c>
      <c r="B2228" s="12" t="s">
        <v>2254</v>
      </c>
      <c r="C2228" s="12">
        <v>267</v>
      </c>
      <c r="D2228" s="12">
        <v>3</v>
      </c>
    </row>
    <row r="2229" spans="1:4" ht="43.2" x14ac:dyDescent="0.3">
      <c r="A2229" s="12" t="s">
        <v>91</v>
      </c>
      <c r="B2229" s="12" t="s">
        <v>2255</v>
      </c>
      <c r="C2229" s="12">
        <v>204</v>
      </c>
      <c r="D2229" s="12">
        <v>2</v>
      </c>
    </row>
    <row r="2230" spans="1:4" ht="43.2" x14ac:dyDescent="0.3">
      <c r="A2230" s="12" t="s">
        <v>91</v>
      </c>
      <c r="B2230" s="12" t="s">
        <v>2256</v>
      </c>
      <c r="C2230" s="12">
        <v>259</v>
      </c>
      <c r="D2230" s="12">
        <v>3</v>
      </c>
    </row>
    <row r="2231" spans="1:4" x14ac:dyDescent="0.3">
      <c r="A2231" s="12" t="s">
        <v>91</v>
      </c>
      <c r="B2231" s="12" t="s">
        <v>2257</v>
      </c>
      <c r="C2231" s="12">
        <v>287</v>
      </c>
      <c r="D2231" s="12">
        <v>3</v>
      </c>
    </row>
    <row r="2232" spans="1:4" ht="43.2" x14ac:dyDescent="0.3">
      <c r="A2232" s="12" t="s">
        <v>91</v>
      </c>
      <c r="B2232" s="12" t="s">
        <v>518</v>
      </c>
      <c r="C2232" s="12">
        <v>320</v>
      </c>
      <c r="D2232" s="12">
        <v>3</v>
      </c>
    </row>
    <row r="2233" spans="1:4" ht="28.8" x14ac:dyDescent="0.3">
      <c r="A2233" s="12" t="s">
        <v>91</v>
      </c>
      <c r="B2233" s="12" t="s">
        <v>2258</v>
      </c>
      <c r="C2233" s="12">
        <v>182</v>
      </c>
      <c r="D2233" s="12">
        <v>2</v>
      </c>
    </row>
    <row r="2234" spans="1:4" ht="43.2" x14ac:dyDescent="0.3">
      <c r="A2234" s="12" t="s">
        <v>91</v>
      </c>
      <c r="B2234" s="12" t="s">
        <v>2259</v>
      </c>
      <c r="C2234" s="12">
        <v>404</v>
      </c>
      <c r="D2234" s="12">
        <v>4</v>
      </c>
    </row>
    <row r="2235" spans="1:4" ht="43.2" x14ac:dyDescent="0.3">
      <c r="A2235" s="12" t="s">
        <v>91</v>
      </c>
      <c r="B2235" s="12" t="s">
        <v>2260</v>
      </c>
      <c r="C2235" s="12">
        <v>140</v>
      </c>
      <c r="D2235" s="12">
        <v>1</v>
      </c>
    </row>
    <row r="2236" spans="1:4" ht="28.8" x14ac:dyDescent="0.3">
      <c r="A2236" s="12" t="s">
        <v>91</v>
      </c>
      <c r="B2236" s="12" t="s">
        <v>527</v>
      </c>
      <c r="C2236" s="12">
        <v>323</v>
      </c>
      <c r="D2236" s="12">
        <v>3</v>
      </c>
    </row>
    <row r="2237" spans="1:4" ht="28.8" x14ac:dyDescent="0.3">
      <c r="A2237" s="12" t="s">
        <v>91</v>
      </c>
      <c r="B2237" s="12" t="s">
        <v>2261</v>
      </c>
      <c r="C2237" s="12">
        <v>662</v>
      </c>
      <c r="D2237" s="12">
        <v>7</v>
      </c>
    </row>
    <row r="2238" spans="1:4" ht="43.2" x14ac:dyDescent="0.3">
      <c r="A2238" s="12" t="s">
        <v>91</v>
      </c>
      <c r="B2238" s="12" t="s">
        <v>2262</v>
      </c>
      <c r="C2238" s="12">
        <v>422</v>
      </c>
      <c r="D2238" s="12">
        <v>4</v>
      </c>
    </row>
    <row r="2239" spans="1:4" ht="43.2" x14ac:dyDescent="0.3">
      <c r="A2239" s="12" t="s">
        <v>91</v>
      </c>
      <c r="B2239" s="12" t="s">
        <v>2263</v>
      </c>
      <c r="C2239" s="12">
        <v>371</v>
      </c>
      <c r="D2239" s="12">
        <v>4</v>
      </c>
    </row>
    <row r="2240" spans="1:4" x14ac:dyDescent="0.3">
      <c r="A2240" s="12" t="s">
        <v>92</v>
      </c>
      <c r="B2240" s="12" t="s">
        <v>2264</v>
      </c>
      <c r="C2240" s="12">
        <v>315</v>
      </c>
      <c r="D2240" s="12">
        <v>3</v>
      </c>
    </row>
    <row r="2241" spans="1:4" ht="43.2" x14ac:dyDescent="0.3">
      <c r="A2241" s="12" t="s">
        <v>92</v>
      </c>
      <c r="B2241" s="12" t="s">
        <v>2265</v>
      </c>
      <c r="C2241" s="12">
        <v>183</v>
      </c>
      <c r="D2241" s="12">
        <v>2</v>
      </c>
    </row>
    <row r="2242" spans="1:4" ht="43.2" x14ac:dyDescent="0.3">
      <c r="A2242" s="12" t="s">
        <v>92</v>
      </c>
      <c r="B2242" s="12" t="s">
        <v>2266</v>
      </c>
      <c r="C2242" s="12">
        <v>496</v>
      </c>
      <c r="D2242" s="12">
        <v>5</v>
      </c>
    </row>
    <row r="2243" spans="1:4" ht="43.2" x14ac:dyDescent="0.3">
      <c r="A2243" s="12" t="s">
        <v>92</v>
      </c>
      <c r="B2243" s="12" t="s">
        <v>2267</v>
      </c>
      <c r="C2243" s="12">
        <v>419</v>
      </c>
      <c r="D2243" s="12">
        <v>4</v>
      </c>
    </row>
    <row r="2244" spans="1:4" ht="28.8" x14ac:dyDescent="0.3">
      <c r="A2244" s="12" t="s">
        <v>92</v>
      </c>
      <c r="B2244" s="12" t="s">
        <v>2268</v>
      </c>
      <c r="C2244" s="12">
        <v>315</v>
      </c>
      <c r="D2244" s="12">
        <v>3</v>
      </c>
    </row>
    <row r="2245" spans="1:4" ht="28.8" x14ac:dyDescent="0.3">
      <c r="A2245" s="12" t="s">
        <v>92</v>
      </c>
      <c r="B2245" s="12" t="s">
        <v>2269</v>
      </c>
      <c r="C2245" s="12">
        <v>436</v>
      </c>
      <c r="D2245" s="12">
        <v>4</v>
      </c>
    </row>
    <row r="2246" spans="1:4" ht="28.8" x14ac:dyDescent="0.3">
      <c r="A2246" s="12" t="s">
        <v>92</v>
      </c>
      <c r="B2246" s="12" t="s">
        <v>2270</v>
      </c>
      <c r="C2246" s="12">
        <v>353</v>
      </c>
      <c r="D2246" s="12">
        <v>4</v>
      </c>
    </row>
    <row r="2247" spans="1:4" ht="28.8" x14ac:dyDescent="0.3">
      <c r="A2247" s="12" t="s">
        <v>92</v>
      </c>
      <c r="B2247" s="12" t="s">
        <v>2271</v>
      </c>
      <c r="C2247" s="12">
        <v>304</v>
      </c>
      <c r="D2247" s="12">
        <v>3</v>
      </c>
    </row>
    <row r="2248" spans="1:4" ht="43.2" x14ac:dyDescent="0.3">
      <c r="A2248" s="12" t="s">
        <v>92</v>
      </c>
      <c r="B2248" s="12" t="s">
        <v>2157</v>
      </c>
      <c r="C2248" s="12">
        <v>240</v>
      </c>
      <c r="D2248" s="12">
        <v>2</v>
      </c>
    </row>
    <row r="2249" spans="1:4" ht="43.2" x14ac:dyDescent="0.3">
      <c r="A2249" s="12" t="s">
        <v>92</v>
      </c>
      <c r="B2249" s="12" t="s">
        <v>2272</v>
      </c>
      <c r="C2249" s="12">
        <v>147</v>
      </c>
      <c r="D2249" s="12">
        <v>1</v>
      </c>
    </row>
    <row r="2250" spans="1:4" x14ac:dyDescent="0.3">
      <c r="A2250" s="12" t="s">
        <v>92</v>
      </c>
      <c r="B2250" s="12" t="s">
        <v>2273</v>
      </c>
      <c r="C2250" s="12">
        <v>277</v>
      </c>
      <c r="D2250" s="12">
        <v>3</v>
      </c>
    </row>
    <row r="2251" spans="1:4" ht="28.8" x14ac:dyDescent="0.3">
      <c r="A2251" s="12" t="s">
        <v>92</v>
      </c>
      <c r="B2251" s="12" t="s">
        <v>2274</v>
      </c>
      <c r="C2251" s="12">
        <v>561</v>
      </c>
      <c r="D2251" s="12">
        <v>6</v>
      </c>
    </row>
    <row r="2252" spans="1:4" ht="28.8" x14ac:dyDescent="0.3">
      <c r="A2252" s="12" t="s">
        <v>92</v>
      </c>
      <c r="B2252" s="12" t="s">
        <v>2275</v>
      </c>
      <c r="C2252" s="12">
        <v>398</v>
      </c>
      <c r="D2252" s="12">
        <v>4</v>
      </c>
    </row>
    <row r="2253" spans="1:4" ht="28.8" x14ac:dyDescent="0.3">
      <c r="A2253" s="12" t="s">
        <v>92</v>
      </c>
      <c r="B2253" s="12" t="s">
        <v>2276</v>
      </c>
      <c r="C2253" s="12">
        <v>377</v>
      </c>
      <c r="D2253" s="12">
        <v>4</v>
      </c>
    </row>
    <row r="2254" spans="1:4" ht="28.8" x14ac:dyDescent="0.3">
      <c r="A2254" s="12" t="s">
        <v>92</v>
      </c>
      <c r="B2254" s="12" t="s">
        <v>2277</v>
      </c>
      <c r="C2254" s="12">
        <v>443</v>
      </c>
      <c r="D2254" s="12">
        <v>4</v>
      </c>
    </row>
    <row r="2255" spans="1:4" ht="28.8" x14ac:dyDescent="0.3">
      <c r="A2255" s="12" t="s">
        <v>92</v>
      </c>
      <c r="B2255" s="12" t="s">
        <v>2278</v>
      </c>
      <c r="C2255" s="12">
        <v>363</v>
      </c>
      <c r="D2255" s="12">
        <v>4</v>
      </c>
    </row>
    <row r="2256" spans="1:4" ht="28.8" x14ac:dyDescent="0.3">
      <c r="A2256" s="12" t="s">
        <v>92</v>
      </c>
      <c r="B2256" s="12" t="s">
        <v>2279</v>
      </c>
      <c r="C2256" s="12">
        <v>247</v>
      </c>
      <c r="D2256" s="12">
        <v>2</v>
      </c>
    </row>
    <row r="2257" spans="1:4" ht="28.8" x14ac:dyDescent="0.3">
      <c r="A2257" s="12" t="s">
        <v>92</v>
      </c>
      <c r="B2257" s="12" t="s">
        <v>2280</v>
      </c>
      <c r="C2257" s="12">
        <v>234</v>
      </c>
      <c r="D2257" s="12">
        <v>2</v>
      </c>
    </row>
    <row r="2258" spans="1:4" ht="28.8" x14ac:dyDescent="0.3">
      <c r="A2258" s="12" t="s">
        <v>92</v>
      </c>
      <c r="B2258" s="12" t="s">
        <v>2281</v>
      </c>
      <c r="C2258" s="12">
        <v>374</v>
      </c>
      <c r="D2258" s="12">
        <v>4</v>
      </c>
    </row>
    <row r="2259" spans="1:4" ht="28.8" x14ac:dyDescent="0.3">
      <c r="A2259" s="12" t="s">
        <v>92</v>
      </c>
      <c r="B2259" s="12" t="s">
        <v>2282</v>
      </c>
      <c r="C2259" s="12">
        <v>501</v>
      </c>
      <c r="D2259" s="12">
        <v>5</v>
      </c>
    </row>
    <row r="2260" spans="1:4" ht="43.2" x14ac:dyDescent="0.3">
      <c r="A2260" s="12" t="s">
        <v>92</v>
      </c>
      <c r="B2260" s="12" t="s">
        <v>2283</v>
      </c>
      <c r="C2260" s="12">
        <v>248</v>
      </c>
      <c r="D2260" s="12">
        <v>2</v>
      </c>
    </row>
    <row r="2261" spans="1:4" ht="28.8" x14ac:dyDescent="0.3">
      <c r="A2261" s="12" t="s">
        <v>92</v>
      </c>
      <c r="B2261" s="12" t="s">
        <v>2284</v>
      </c>
      <c r="C2261" s="12">
        <v>280</v>
      </c>
      <c r="D2261" s="12">
        <v>3</v>
      </c>
    </row>
    <row r="2262" spans="1:4" ht="28.8" x14ac:dyDescent="0.3">
      <c r="A2262" s="12" t="s">
        <v>92</v>
      </c>
      <c r="B2262" s="12" t="s">
        <v>2285</v>
      </c>
      <c r="C2262" s="12">
        <v>416</v>
      </c>
      <c r="D2262" s="12">
        <v>4</v>
      </c>
    </row>
    <row r="2263" spans="1:4" ht="43.2" x14ac:dyDescent="0.3">
      <c r="A2263" s="12" t="s">
        <v>92</v>
      </c>
      <c r="B2263" s="12" t="s">
        <v>2286</v>
      </c>
      <c r="C2263" s="12">
        <v>220</v>
      </c>
      <c r="D2263" s="12">
        <v>2</v>
      </c>
    </row>
    <row r="2264" spans="1:4" x14ac:dyDescent="0.3">
      <c r="A2264" s="12" t="s">
        <v>92</v>
      </c>
      <c r="B2264" s="12" t="s">
        <v>2287</v>
      </c>
      <c r="C2264" s="12">
        <v>280</v>
      </c>
      <c r="D2264" s="12">
        <v>3</v>
      </c>
    </row>
    <row r="2265" spans="1:4" x14ac:dyDescent="0.3">
      <c r="A2265" s="12" t="s">
        <v>92</v>
      </c>
      <c r="B2265" s="12" t="s">
        <v>2288</v>
      </c>
      <c r="C2265" s="12">
        <v>127</v>
      </c>
      <c r="D2265" s="12">
        <v>1</v>
      </c>
    </row>
    <row r="2266" spans="1:4" ht="43.2" x14ac:dyDescent="0.3">
      <c r="A2266" s="12" t="s">
        <v>92</v>
      </c>
      <c r="B2266" s="12" t="s">
        <v>2289</v>
      </c>
      <c r="C2266" s="12">
        <v>232</v>
      </c>
      <c r="D2266" s="12">
        <v>2</v>
      </c>
    </row>
    <row r="2267" spans="1:4" ht="57.6" x14ac:dyDescent="0.3">
      <c r="A2267" s="12" t="s">
        <v>92</v>
      </c>
      <c r="B2267" s="12" t="s">
        <v>2290</v>
      </c>
      <c r="C2267" s="12">
        <v>341</v>
      </c>
      <c r="D2267" s="12">
        <v>3</v>
      </c>
    </row>
    <row r="2268" spans="1:4" ht="57.6" x14ac:dyDescent="0.3">
      <c r="A2268" s="12" t="s">
        <v>92</v>
      </c>
      <c r="B2268" s="12" t="s">
        <v>2291</v>
      </c>
      <c r="C2268" s="12">
        <v>457</v>
      </c>
      <c r="D2268" s="12">
        <v>5</v>
      </c>
    </row>
    <row r="2269" spans="1:4" x14ac:dyDescent="0.3">
      <c r="A2269" s="12" t="s">
        <v>93</v>
      </c>
      <c r="B2269" s="12" t="s">
        <v>2292</v>
      </c>
      <c r="C2269" s="12">
        <v>231</v>
      </c>
      <c r="D2269" s="12">
        <v>2</v>
      </c>
    </row>
    <row r="2270" spans="1:4" ht="28.8" x14ac:dyDescent="0.3">
      <c r="A2270" s="12" t="s">
        <v>93</v>
      </c>
      <c r="B2270" s="12" t="s">
        <v>2229</v>
      </c>
      <c r="C2270" s="12">
        <v>342</v>
      </c>
      <c r="D2270" s="12">
        <v>3</v>
      </c>
    </row>
    <row r="2271" spans="1:4" x14ac:dyDescent="0.3">
      <c r="A2271" s="12" t="s">
        <v>93</v>
      </c>
      <c r="B2271" s="12" t="s">
        <v>2293</v>
      </c>
      <c r="C2271" s="12">
        <v>577</v>
      </c>
      <c r="D2271" s="12">
        <v>6</v>
      </c>
    </row>
    <row r="2272" spans="1:4" x14ac:dyDescent="0.3">
      <c r="A2272" s="12" t="s">
        <v>93</v>
      </c>
      <c r="B2272" s="12" t="s">
        <v>2294</v>
      </c>
      <c r="C2272" s="12">
        <v>692</v>
      </c>
      <c r="D2272" s="12">
        <v>7</v>
      </c>
    </row>
    <row r="2273" spans="1:4" x14ac:dyDescent="0.3">
      <c r="A2273" s="12" t="s">
        <v>93</v>
      </c>
      <c r="B2273" s="12" t="s">
        <v>2295</v>
      </c>
      <c r="C2273" s="12">
        <v>820</v>
      </c>
      <c r="D2273" s="12">
        <v>8</v>
      </c>
    </row>
    <row r="2274" spans="1:4" x14ac:dyDescent="0.3">
      <c r="A2274" s="12" t="s">
        <v>94</v>
      </c>
      <c r="B2274" s="12" t="s">
        <v>2296</v>
      </c>
      <c r="C2274" s="12">
        <v>693</v>
      </c>
      <c r="D2274" s="12">
        <v>7</v>
      </c>
    </row>
    <row r="2275" spans="1:4" ht="43.2" x14ac:dyDescent="0.3">
      <c r="A2275" s="12" t="s">
        <v>94</v>
      </c>
      <c r="B2275" s="12" t="s">
        <v>2297</v>
      </c>
      <c r="C2275" s="12">
        <v>774</v>
      </c>
      <c r="D2275" s="12">
        <v>8</v>
      </c>
    </row>
    <row r="2276" spans="1:4" ht="43.2" x14ac:dyDescent="0.3">
      <c r="A2276" s="12" t="s">
        <v>94</v>
      </c>
      <c r="B2276" s="12" t="s">
        <v>2298</v>
      </c>
      <c r="C2276" s="12">
        <v>631</v>
      </c>
      <c r="D2276" s="12">
        <v>6</v>
      </c>
    </row>
    <row r="2277" spans="1:4" ht="43.2" x14ac:dyDescent="0.3">
      <c r="A2277" s="12" t="s">
        <v>94</v>
      </c>
      <c r="B2277" s="12" t="s">
        <v>2299</v>
      </c>
      <c r="C2277" s="12">
        <v>752</v>
      </c>
      <c r="D2277" s="12">
        <v>8</v>
      </c>
    </row>
    <row r="2278" spans="1:4" ht="43.2" x14ac:dyDescent="0.3">
      <c r="A2278" s="12" t="s">
        <v>94</v>
      </c>
      <c r="B2278" s="12" t="s">
        <v>2300</v>
      </c>
      <c r="C2278" s="12">
        <v>658</v>
      </c>
      <c r="D2278" s="12">
        <v>7</v>
      </c>
    </row>
    <row r="2279" spans="1:4" ht="43.2" x14ac:dyDescent="0.3">
      <c r="A2279" s="12" t="s">
        <v>94</v>
      </c>
      <c r="B2279" s="12" t="s">
        <v>2301</v>
      </c>
      <c r="C2279" s="12">
        <v>564</v>
      </c>
      <c r="D2279" s="12">
        <v>6</v>
      </c>
    </row>
    <row r="2280" spans="1:4" ht="43.2" x14ac:dyDescent="0.3">
      <c r="A2280" s="12" t="s">
        <v>94</v>
      </c>
      <c r="B2280" s="12" t="s">
        <v>2302</v>
      </c>
      <c r="C2280" s="12">
        <v>268</v>
      </c>
      <c r="D2280" s="12">
        <v>3</v>
      </c>
    </row>
    <row r="2281" spans="1:4" ht="28.8" x14ac:dyDescent="0.3">
      <c r="A2281" s="12" t="s">
        <v>94</v>
      </c>
      <c r="B2281" s="12" t="s">
        <v>2303</v>
      </c>
      <c r="C2281" s="12">
        <v>880</v>
      </c>
      <c r="D2281" s="12">
        <v>9</v>
      </c>
    </row>
    <row r="2282" spans="1:4" ht="28.8" x14ac:dyDescent="0.3">
      <c r="A2282" s="12" t="s">
        <v>94</v>
      </c>
      <c r="B2282" s="12" t="s">
        <v>1319</v>
      </c>
      <c r="C2282" s="12">
        <v>321</v>
      </c>
      <c r="D2282" s="12">
        <v>3</v>
      </c>
    </row>
    <row r="2283" spans="1:4" ht="28.8" x14ac:dyDescent="0.3">
      <c r="A2283" s="12" t="s">
        <v>94</v>
      </c>
      <c r="B2283" s="12" t="s">
        <v>446</v>
      </c>
      <c r="C2283" s="12">
        <v>430</v>
      </c>
      <c r="D2283" s="12">
        <v>4</v>
      </c>
    </row>
    <row r="2284" spans="1:4" ht="28.8" x14ac:dyDescent="0.3">
      <c r="A2284" s="12" t="s">
        <v>94</v>
      </c>
      <c r="B2284" s="12" t="s">
        <v>2304</v>
      </c>
      <c r="C2284" s="12">
        <v>321</v>
      </c>
      <c r="D2284" s="12">
        <v>3</v>
      </c>
    </row>
    <row r="2285" spans="1:4" ht="57.6" x14ac:dyDescent="0.3">
      <c r="A2285" s="12" t="s">
        <v>94</v>
      </c>
      <c r="B2285" s="12" t="s">
        <v>2305</v>
      </c>
      <c r="C2285" s="12">
        <v>329</v>
      </c>
      <c r="D2285" s="12">
        <v>3</v>
      </c>
    </row>
    <row r="2286" spans="1:4" x14ac:dyDescent="0.3">
      <c r="A2286" s="12" t="s">
        <v>94</v>
      </c>
      <c r="B2286" s="12" t="s">
        <v>2306</v>
      </c>
      <c r="C2286" s="12">
        <v>93</v>
      </c>
      <c r="D2286" s="12">
        <v>1</v>
      </c>
    </row>
    <row r="2287" spans="1:4" x14ac:dyDescent="0.3">
      <c r="A2287" s="12" t="s">
        <v>94</v>
      </c>
      <c r="B2287" s="12" t="s">
        <v>2307</v>
      </c>
      <c r="C2287" s="12">
        <v>323</v>
      </c>
      <c r="D2287" s="12">
        <v>3</v>
      </c>
    </row>
    <row r="2288" spans="1:4" ht="57.6" x14ac:dyDescent="0.3">
      <c r="A2288" s="12" t="s">
        <v>94</v>
      </c>
      <c r="B2288" s="12" t="s">
        <v>2308</v>
      </c>
      <c r="C2288" s="12">
        <v>561</v>
      </c>
      <c r="D2288" s="12">
        <v>6</v>
      </c>
    </row>
    <row r="2289" spans="1:4" ht="43.2" x14ac:dyDescent="0.3">
      <c r="A2289" s="12" t="s">
        <v>95</v>
      </c>
      <c r="B2289" s="12" t="s">
        <v>2309</v>
      </c>
      <c r="C2289" s="12">
        <v>113</v>
      </c>
      <c r="D2289" s="12">
        <v>1</v>
      </c>
    </row>
    <row r="2290" spans="1:4" ht="43.2" x14ac:dyDescent="0.3">
      <c r="A2290" s="12" t="s">
        <v>95</v>
      </c>
      <c r="B2290" s="12" t="s">
        <v>1984</v>
      </c>
      <c r="C2290" s="12">
        <v>383</v>
      </c>
      <c r="D2290" s="12">
        <v>4</v>
      </c>
    </row>
    <row r="2291" spans="1:4" ht="43.2" x14ac:dyDescent="0.3">
      <c r="A2291" s="12" t="s">
        <v>95</v>
      </c>
      <c r="B2291" s="12" t="s">
        <v>2310</v>
      </c>
      <c r="C2291" s="12">
        <v>43</v>
      </c>
      <c r="D2291" s="12">
        <v>1</v>
      </c>
    </row>
    <row r="2292" spans="1:4" ht="43.2" x14ac:dyDescent="0.3">
      <c r="A2292" s="12" t="s">
        <v>95</v>
      </c>
      <c r="B2292" s="12" t="s">
        <v>2311</v>
      </c>
      <c r="C2292" s="12">
        <v>8</v>
      </c>
      <c r="D2292" s="12">
        <v>1</v>
      </c>
    </row>
    <row r="2293" spans="1:4" ht="43.2" x14ac:dyDescent="0.3">
      <c r="A2293" s="12" t="s">
        <v>95</v>
      </c>
      <c r="B2293" s="12" t="s">
        <v>2312</v>
      </c>
      <c r="C2293" s="12">
        <v>152</v>
      </c>
      <c r="D2293" s="12">
        <v>2</v>
      </c>
    </row>
    <row r="2294" spans="1:4" ht="28.8" x14ac:dyDescent="0.3">
      <c r="A2294" s="12" t="s">
        <v>95</v>
      </c>
      <c r="B2294" s="12" t="s">
        <v>2313</v>
      </c>
      <c r="C2294" s="12">
        <v>5</v>
      </c>
      <c r="D2294" s="12">
        <v>1</v>
      </c>
    </row>
    <row r="2295" spans="1:4" x14ac:dyDescent="0.3">
      <c r="A2295" s="12" t="s">
        <v>41</v>
      </c>
      <c r="B2295" s="12" t="s">
        <v>2314</v>
      </c>
      <c r="C2295" s="12">
        <v>426</v>
      </c>
      <c r="D2295" s="12">
        <v>4</v>
      </c>
    </row>
    <row r="2296" spans="1:4" x14ac:dyDescent="0.3">
      <c r="A2296" s="12" t="s">
        <v>41</v>
      </c>
      <c r="B2296" s="12" t="s">
        <v>2315</v>
      </c>
      <c r="C2296" s="12">
        <v>738</v>
      </c>
      <c r="D2296" s="12">
        <v>7</v>
      </c>
    </row>
    <row r="2297" spans="1:4" x14ac:dyDescent="0.3">
      <c r="A2297" s="12" t="s">
        <v>41</v>
      </c>
      <c r="B2297" s="12" t="s">
        <v>2316</v>
      </c>
      <c r="C2297" s="12">
        <v>407</v>
      </c>
      <c r="D2297" s="12">
        <v>4</v>
      </c>
    </row>
    <row r="2298" spans="1:4" x14ac:dyDescent="0.3">
      <c r="A2298" s="12" t="s">
        <v>41</v>
      </c>
      <c r="B2298" s="12" t="s">
        <v>2317</v>
      </c>
      <c r="C2298" s="12">
        <v>656</v>
      </c>
      <c r="D2298" s="12">
        <v>7</v>
      </c>
    </row>
    <row r="2299" spans="1:4" x14ac:dyDescent="0.3">
      <c r="A2299" s="12" t="s">
        <v>41</v>
      </c>
      <c r="B2299" s="12" t="s">
        <v>2318</v>
      </c>
      <c r="C2299" s="12">
        <v>708</v>
      </c>
      <c r="D2299" s="12">
        <v>7</v>
      </c>
    </row>
    <row r="2300" spans="1:4" x14ac:dyDescent="0.3">
      <c r="A2300" s="12" t="s">
        <v>41</v>
      </c>
      <c r="B2300" s="12" t="s">
        <v>2319</v>
      </c>
      <c r="C2300" s="12">
        <v>285</v>
      </c>
      <c r="D2300" s="12">
        <v>3</v>
      </c>
    </row>
    <row r="2301" spans="1:4" x14ac:dyDescent="0.3">
      <c r="A2301" s="12" t="s">
        <v>41</v>
      </c>
      <c r="B2301" s="12" t="s">
        <v>2320</v>
      </c>
      <c r="C2301" s="12">
        <v>852</v>
      </c>
      <c r="D2301" s="12">
        <v>9</v>
      </c>
    </row>
    <row r="2302" spans="1:4" x14ac:dyDescent="0.3">
      <c r="A2302" s="12" t="s">
        <v>41</v>
      </c>
      <c r="B2302" s="12" t="s">
        <v>2321</v>
      </c>
      <c r="C2302" s="12">
        <v>949</v>
      </c>
      <c r="D2302" s="12">
        <v>9</v>
      </c>
    </row>
    <row r="2303" spans="1:4" x14ac:dyDescent="0.3">
      <c r="A2303" s="12" t="s">
        <v>41</v>
      </c>
      <c r="B2303" s="12" t="s">
        <v>2322</v>
      </c>
      <c r="C2303" s="12">
        <v>626</v>
      </c>
      <c r="D2303" s="12">
        <v>6</v>
      </c>
    </row>
    <row r="2304" spans="1:4" x14ac:dyDescent="0.3">
      <c r="A2304" s="12" t="s">
        <v>41</v>
      </c>
      <c r="B2304" s="12" t="s">
        <v>2323</v>
      </c>
      <c r="C2304" s="12">
        <v>577</v>
      </c>
      <c r="D2304" s="12">
        <v>6</v>
      </c>
    </row>
    <row r="2305" spans="1:4" x14ac:dyDescent="0.3">
      <c r="A2305" s="12" t="s">
        <v>41</v>
      </c>
      <c r="B2305" s="12" t="s">
        <v>911</v>
      </c>
      <c r="C2305" s="12">
        <v>260</v>
      </c>
      <c r="D2305" s="12">
        <v>3</v>
      </c>
    </row>
    <row r="2306" spans="1:4" x14ac:dyDescent="0.3">
      <c r="A2306" s="12" t="s">
        <v>41</v>
      </c>
      <c r="B2306" s="12" t="s">
        <v>912</v>
      </c>
      <c r="C2306" s="12">
        <v>226</v>
      </c>
      <c r="D2306" s="12">
        <v>2</v>
      </c>
    </row>
    <row r="2307" spans="1:4" x14ac:dyDescent="0.3">
      <c r="A2307" s="12" t="s">
        <v>41</v>
      </c>
      <c r="B2307" s="12" t="s">
        <v>913</v>
      </c>
      <c r="C2307" s="12">
        <v>267</v>
      </c>
      <c r="D2307" s="12">
        <v>3</v>
      </c>
    </row>
    <row r="2308" spans="1:4" x14ac:dyDescent="0.3">
      <c r="A2308" s="12" t="s">
        <v>41</v>
      </c>
      <c r="B2308" s="12" t="s">
        <v>914</v>
      </c>
      <c r="C2308" s="12">
        <v>293</v>
      </c>
      <c r="D2308" s="12">
        <v>3</v>
      </c>
    </row>
    <row r="2309" spans="1:4" x14ac:dyDescent="0.3">
      <c r="A2309" s="12" t="s">
        <v>41</v>
      </c>
      <c r="B2309" s="12" t="s">
        <v>915</v>
      </c>
      <c r="C2309" s="12">
        <v>1208</v>
      </c>
      <c r="D2309" s="12">
        <v>12</v>
      </c>
    </row>
    <row r="2310" spans="1:4" x14ac:dyDescent="0.3">
      <c r="A2310" s="12" t="s">
        <v>41</v>
      </c>
      <c r="B2310" s="12" t="s">
        <v>2324</v>
      </c>
      <c r="C2310" s="12">
        <v>1180</v>
      </c>
      <c r="D2310" s="12">
        <v>12</v>
      </c>
    </row>
    <row r="2311" spans="1:4" x14ac:dyDescent="0.3">
      <c r="A2311" s="12" t="s">
        <v>41</v>
      </c>
      <c r="B2311" s="12" t="s">
        <v>2325</v>
      </c>
      <c r="C2311" s="12">
        <v>741</v>
      </c>
      <c r="D2311" s="12">
        <v>7</v>
      </c>
    </row>
    <row r="2312" spans="1:4" x14ac:dyDescent="0.3">
      <c r="A2312" s="12" t="s">
        <v>41</v>
      </c>
      <c r="B2312" s="12" t="s">
        <v>2326</v>
      </c>
      <c r="C2312" s="12">
        <v>997</v>
      </c>
      <c r="D2312" s="12">
        <v>10</v>
      </c>
    </row>
    <row r="2313" spans="1:4" x14ac:dyDescent="0.3">
      <c r="A2313" s="12" t="s">
        <v>41</v>
      </c>
      <c r="B2313" s="12" t="s">
        <v>2327</v>
      </c>
      <c r="C2313" s="12">
        <v>592</v>
      </c>
      <c r="D2313" s="12">
        <v>6</v>
      </c>
    </row>
    <row r="2314" spans="1:4" x14ac:dyDescent="0.3">
      <c r="A2314" s="12" t="s">
        <v>41</v>
      </c>
      <c r="B2314" s="12" t="s">
        <v>2328</v>
      </c>
      <c r="C2314" s="12">
        <v>1281</v>
      </c>
      <c r="D2314" s="12">
        <v>13</v>
      </c>
    </row>
    <row r="2315" spans="1:4" x14ac:dyDescent="0.3">
      <c r="A2315" s="12" t="s">
        <v>41</v>
      </c>
      <c r="B2315" s="12" t="s">
        <v>2329</v>
      </c>
      <c r="C2315" s="12">
        <v>1190</v>
      </c>
      <c r="D2315" s="12">
        <v>12</v>
      </c>
    </row>
    <row r="2316" spans="1:4" x14ac:dyDescent="0.3">
      <c r="A2316" s="12" t="s">
        <v>41</v>
      </c>
      <c r="B2316" s="12" t="s">
        <v>2330</v>
      </c>
      <c r="C2316" s="12">
        <v>943</v>
      </c>
      <c r="D2316" s="12">
        <v>9</v>
      </c>
    </row>
    <row r="2317" spans="1:4" x14ac:dyDescent="0.3">
      <c r="A2317" s="12" t="s">
        <v>41</v>
      </c>
      <c r="B2317" s="12" t="s">
        <v>916</v>
      </c>
      <c r="C2317" s="12">
        <v>367</v>
      </c>
      <c r="D2317" s="12">
        <v>4</v>
      </c>
    </row>
    <row r="2318" spans="1:4" x14ac:dyDescent="0.3">
      <c r="A2318" s="12" t="s">
        <v>41</v>
      </c>
      <c r="B2318" s="12" t="s">
        <v>2331</v>
      </c>
      <c r="C2318" s="12">
        <v>305</v>
      </c>
      <c r="D2318" s="12">
        <v>3</v>
      </c>
    </row>
    <row r="2319" spans="1:4" x14ac:dyDescent="0.3">
      <c r="A2319" s="12" t="s">
        <v>41</v>
      </c>
      <c r="B2319" s="12" t="s">
        <v>2332</v>
      </c>
      <c r="C2319" s="12">
        <v>468</v>
      </c>
      <c r="D2319" s="12">
        <v>5</v>
      </c>
    </row>
    <row r="2320" spans="1:4" x14ac:dyDescent="0.3">
      <c r="A2320" s="12" t="s">
        <v>41</v>
      </c>
      <c r="B2320" s="12" t="s">
        <v>2333</v>
      </c>
      <c r="C2320" s="12">
        <v>342</v>
      </c>
      <c r="D2320" s="12">
        <v>3</v>
      </c>
    </row>
    <row r="2321" spans="1:4" x14ac:dyDescent="0.3">
      <c r="A2321" s="12" t="s">
        <v>41</v>
      </c>
      <c r="B2321" s="12" t="s">
        <v>2334</v>
      </c>
      <c r="C2321" s="12">
        <v>340</v>
      </c>
      <c r="D2321" s="12">
        <v>3</v>
      </c>
    </row>
    <row r="2322" spans="1:4" x14ac:dyDescent="0.3">
      <c r="A2322" s="12" t="s">
        <v>41</v>
      </c>
      <c r="B2322" s="12" t="s">
        <v>2335</v>
      </c>
      <c r="C2322" s="12">
        <v>295</v>
      </c>
      <c r="D2322" s="12">
        <v>3</v>
      </c>
    </row>
    <row r="2323" spans="1:4" x14ac:dyDescent="0.3">
      <c r="A2323" s="12" t="s">
        <v>41</v>
      </c>
      <c r="B2323" s="12" t="s">
        <v>2336</v>
      </c>
      <c r="C2323" s="12">
        <v>299</v>
      </c>
      <c r="D2323" s="12">
        <v>3</v>
      </c>
    </row>
    <row r="2324" spans="1:4" x14ac:dyDescent="0.3">
      <c r="A2324" s="12" t="s">
        <v>41</v>
      </c>
      <c r="B2324" s="12" t="s">
        <v>2337</v>
      </c>
      <c r="C2324" s="12">
        <v>1312</v>
      </c>
      <c r="D2324" s="12">
        <v>13</v>
      </c>
    </row>
    <row r="2325" spans="1:4" x14ac:dyDescent="0.3">
      <c r="A2325" s="12" t="s">
        <v>41</v>
      </c>
      <c r="B2325" s="12" t="s">
        <v>2338</v>
      </c>
      <c r="C2325" s="12">
        <v>988</v>
      </c>
      <c r="D2325" s="12">
        <v>10</v>
      </c>
    </row>
    <row r="2326" spans="1:4" x14ac:dyDescent="0.3">
      <c r="A2326" s="12" t="s">
        <v>41</v>
      </c>
      <c r="B2326" s="12" t="s">
        <v>2339</v>
      </c>
      <c r="C2326" s="12">
        <v>943</v>
      </c>
      <c r="D2326" s="12">
        <v>9</v>
      </c>
    </row>
    <row r="2327" spans="1:4" x14ac:dyDescent="0.3">
      <c r="A2327" s="12" t="s">
        <v>41</v>
      </c>
      <c r="B2327" s="12" t="s">
        <v>2340</v>
      </c>
      <c r="C2327" s="12">
        <v>1193</v>
      </c>
      <c r="D2327" s="12">
        <v>12</v>
      </c>
    </row>
    <row r="2328" spans="1:4" x14ac:dyDescent="0.3">
      <c r="A2328" s="12" t="s">
        <v>41</v>
      </c>
      <c r="B2328" s="12" t="s">
        <v>2341</v>
      </c>
      <c r="C2328" s="12">
        <v>1538</v>
      </c>
      <c r="D2328" s="12">
        <v>15</v>
      </c>
    </row>
    <row r="2329" spans="1:4" x14ac:dyDescent="0.3">
      <c r="A2329" s="12" t="s">
        <v>41</v>
      </c>
      <c r="B2329" s="12" t="s">
        <v>2342</v>
      </c>
      <c r="C2329" s="12">
        <v>442</v>
      </c>
      <c r="D2329" s="12">
        <v>4</v>
      </c>
    </row>
    <row r="2330" spans="1:4" x14ac:dyDescent="0.3">
      <c r="A2330" s="12" t="s">
        <v>41</v>
      </c>
      <c r="B2330" s="12" t="s">
        <v>2343</v>
      </c>
      <c r="C2330" s="12">
        <v>504</v>
      </c>
      <c r="D2330" s="12">
        <v>5</v>
      </c>
    </row>
    <row r="2331" spans="1:4" x14ac:dyDescent="0.3">
      <c r="A2331" s="12" t="s">
        <v>41</v>
      </c>
      <c r="B2331" s="12" t="s">
        <v>2344</v>
      </c>
      <c r="C2331" s="12">
        <v>1125</v>
      </c>
      <c r="D2331" s="12">
        <v>11</v>
      </c>
    </row>
    <row r="2332" spans="1:4" x14ac:dyDescent="0.3">
      <c r="A2332" s="12" t="s">
        <v>41</v>
      </c>
      <c r="B2332" s="12" t="s">
        <v>917</v>
      </c>
      <c r="C2332" s="12">
        <v>942</v>
      </c>
      <c r="D2332" s="12">
        <v>9</v>
      </c>
    </row>
    <row r="2333" spans="1:4" x14ac:dyDescent="0.3">
      <c r="A2333" s="12" t="s">
        <v>41</v>
      </c>
      <c r="B2333" s="12" t="s">
        <v>918</v>
      </c>
      <c r="C2333" s="12">
        <v>634</v>
      </c>
      <c r="D2333" s="12">
        <v>6</v>
      </c>
    </row>
    <row r="2334" spans="1:4" x14ac:dyDescent="0.3">
      <c r="A2334" s="12" t="s">
        <v>41</v>
      </c>
      <c r="B2334" s="12" t="s">
        <v>919</v>
      </c>
      <c r="C2334" s="12">
        <v>542</v>
      </c>
      <c r="D2334" s="12">
        <v>5</v>
      </c>
    </row>
    <row r="2335" spans="1:4" x14ac:dyDescent="0.3">
      <c r="A2335" s="12" t="s">
        <v>41</v>
      </c>
      <c r="B2335" s="12" t="s">
        <v>920</v>
      </c>
      <c r="C2335" s="12">
        <v>635</v>
      </c>
      <c r="D2335" s="12">
        <v>6</v>
      </c>
    </row>
    <row r="2336" spans="1:4" x14ac:dyDescent="0.3">
      <c r="A2336" s="12" t="s">
        <v>41</v>
      </c>
      <c r="B2336" s="12" t="s">
        <v>2345</v>
      </c>
      <c r="C2336" s="12">
        <v>464</v>
      </c>
      <c r="D2336" s="12">
        <v>5</v>
      </c>
    </row>
    <row r="2337" spans="1:4" x14ac:dyDescent="0.3">
      <c r="A2337" s="12" t="s">
        <v>41</v>
      </c>
      <c r="B2337" s="12" t="s">
        <v>2346</v>
      </c>
      <c r="C2337" s="12">
        <v>396</v>
      </c>
      <c r="D2337" s="12">
        <v>4</v>
      </c>
    </row>
    <row r="2338" spans="1:4" x14ac:dyDescent="0.3">
      <c r="A2338" s="12" t="s">
        <v>41</v>
      </c>
      <c r="B2338" s="12" t="s">
        <v>2347</v>
      </c>
      <c r="C2338" s="12">
        <v>1378</v>
      </c>
      <c r="D2338" s="12">
        <v>14</v>
      </c>
    </row>
    <row r="2339" spans="1:4" x14ac:dyDescent="0.3">
      <c r="A2339" s="12" t="s">
        <v>41</v>
      </c>
      <c r="B2339" s="12" t="s">
        <v>2348</v>
      </c>
      <c r="C2339" s="12">
        <v>348</v>
      </c>
      <c r="D2339" s="12">
        <v>3</v>
      </c>
    </row>
    <row r="2340" spans="1:4" x14ac:dyDescent="0.3">
      <c r="A2340" s="12" t="s">
        <v>41</v>
      </c>
      <c r="B2340" s="12" t="s">
        <v>2349</v>
      </c>
      <c r="C2340" s="12">
        <v>955</v>
      </c>
      <c r="D2340" s="12">
        <v>10</v>
      </c>
    </row>
    <row r="2341" spans="1:4" x14ac:dyDescent="0.3">
      <c r="A2341" s="12" t="s">
        <v>41</v>
      </c>
      <c r="B2341" s="12" t="s">
        <v>2350</v>
      </c>
      <c r="C2341" s="12">
        <v>650</v>
      </c>
      <c r="D2341" s="12">
        <v>6</v>
      </c>
    </row>
    <row r="2342" spans="1:4" x14ac:dyDescent="0.3">
      <c r="A2342" s="12" t="s">
        <v>41</v>
      </c>
      <c r="B2342" s="12" t="s">
        <v>2351</v>
      </c>
      <c r="C2342" s="12">
        <v>334</v>
      </c>
      <c r="D2342" s="12">
        <v>3</v>
      </c>
    </row>
    <row r="2343" spans="1:4" x14ac:dyDescent="0.3">
      <c r="A2343" s="12" t="s">
        <v>41</v>
      </c>
      <c r="B2343" s="12" t="s">
        <v>2352</v>
      </c>
      <c r="C2343" s="12">
        <v>933</v>
      </c>
      <c r="D2343" s="12">
        <v>9</v>
      </c>
    </row>
    <row r="2344" spans="1:4" x14ac:dyDescent="0.3">
      <c r="A2344" s="12" t="s">
        <v>41</v>
      </c>
      <c r="B2344" s="12" t="s">
        <v>2353</v>
      </c>
      <c r="C2344" s="12">
        <v>924</v>
      </c>
      <c r="D2344" s="12">
        <v>9</v>
      </c>
    </row>
    <row r="2345" spans="1:4" x14ac:dyDescent="0.3">
      <c r="A2345" s="12" t="s">
        <v>41</v>
      </c>
      <c r="B2345" s="12" t="s">
        <v>921</v>
      </c>
      <c r="C2345" s="12">
        <v>454</v>
      </c>
      <c r="D2345" s="12">
        <v>5</v>
      </c>
    </row>
    <row r="2346" spans="1:4" x14ac:dyDescent="0.3">
      <c r="A2346" s="12" t="s">
        <v>41</v>
      </c>
      <c r="B2346" s="12" t="s">
        <v>922</v>
      </c>
      <c r="C2346" s="12">
        <v>469</v>
      </c>
      <c r="D2346" s="12">
        <v>5</v>
      </c>
    </row>
    <row r="2347" spans="1:4" x14ac:dyDescent="0.3">
      <c r="A2347" s="12" t="s">
        <v>60</v>
      </c>
      <c r="B2347" s="12" t="s">
        <v>2354</v>
      </c>
      <c r="C2347" s="12">
        <v>810</v>
      </c>
      <c r="D2347" s="12">
        <v>8</v>
      </c>
    </row>
    <row r="2348" spans="1:4" x14ac:dyDescent="0.3">
      <c r="A2348" s="12" t="s">
        <v>60</v>
      </c>
      <c r="B2348" s="12" t="s">
        <v>2355</v>
      </c>
      <c r="C2348" s="12">
        <v>1222</v>
      </c>
      <c r="D2348" s="12">
        <v>12</v>
      </c>
    </row>
    <row r="2349" spans="1:4" x14ac:dyDescent="0.3">
      <c r="A2349" s="12" t="s">
        <v>60</v>
      </c>
      <c r="B2349" s="12" t="s">
        <v>2356</v>
      </c>
      <c r="C2349" s="12">
        <v>367</v>
      </c>
      <c r="D2349" s="12">
        <v>4</v>
      </c>
    </row>
    <row r="2350" spans="1:4" x14ac:dyDescent="0.3">
      <c r="A2350" s="12" t="s">
        <v>60</v>
      </c>
      <c r="B2350" s="12" t="s">
        <v>2357</v>
      </c>
      <c r="C2350" s="12">
        <v>1201</v>
      </c>
      <c r="D2350" s="12">
        <v>12</v>
      </c>
    </row>
    <row r="2351" spans="1:4" x14ac:dyDescent="0.3">
      <c r="A2351" s="12" t="s">
        <v>60</v>
      </c>
      <c r="B2351" s="12" t="s">
        <v>2358</v>
      </c>
      <c r="C2351" s="12">
        <v>1161</v>
      </c>
      <c r="D2351" s="12">
        <v>12</v>
      </c>
    </row>
    <row r="2352" spans="1:4" x14ac:dyDescent="0.3">
      <c r="A2352" s="12" t="s">
        <v>60</v>
      </c>
      <c r="B2352" s="12" t="s">
        <v>2359</v>
      </c>
      <c r="C2352" s="12">
        <v>1446</v>
      </c>
      <c r="D2352" s="12">
        <v>14</v>
      </c>
    </row>
    <row r="2353" spans="1:4" x14ac:dyDescent="0.3">
      <c r="A2353" s="12" t="s">
        <v>60</v>
      </c>
      <c r="B2353" s="12" t="s">
        <v>2360</v>
      </c>
      <c r="C2353" s="12">
        <v>1207</v>
      </c>
      <c r="D2353" s="12">
        <v>12</v>
      </c>
    </row>
    <row r="2354" spans="1:4" x14ac:dyDescent="0.3">
      <c r="A2354" s="12" t="s">
        <v>60</v>
      </c>
      <c r="B2354" s="12" t="s">
        <v>2361</v>
      </c>
      <c r="C2354" s="12">
        <v>627</v>
      </c>
      <c r="D2354" s="12">
        <v>6</v>
      </c>
    </row>
    <row r="2355" spans="1:4" x14ac:dyDescent="0.3">
      <c r="A2355" s="12" t="s">
        <v>60</v>
      </c>
      <c r="B2355" s="12" t="s">
        <v>2362</v>
      </c>
      <c r="C2355" s="12">
        <v>1457</v>
      </c>
      <c r="D2355" s="12">
        <v>15</v>
      </c>
    </row>
    <row r="2356" spans="1:4" x14ac:dyDescent="0.3">
      <c r="A2356" s="12" t="s">
        <v>60</v>
      </c>
      <c r="B2356" s="12" t="s">
        <v>2363</v>
      </c>
      <c r="C2356" s="12">
        <v>976</v>
      </c>
      <c r="D2356" s="12">
        <v>10</v>
      </c>
    </row>
    <row r="2357" spans="1:4" x14ac:dyDescent="0.3">
      <c r="A2357" s="12" t="s">
        <v>60</v>
      </c>
      <c r="B2357" s="12" t="s">
        <v>2364</v>
      </c>
      <c r="C2357" s="12">
        <v>322</v>
      </c>
      <c r="D2357" s="12">
        <v>3</v>
      </c>
    </row>
    <row r="2358" spans="1:4" x14ac:dyDescent="0.3">
      <c r="A2358" s="12" t="s">
        <v>60</v>
      </c>
      <c r="B2358" s="12" t="s">
        <v>2365</v>
      </c>
      <c r="C2358" s="12">
        <v>1471</v>
      </c>
      <c r="D2358" s="12">
        <v>15</v>
      </c>
    </row>
    <row r="2359" spans="1:4" ht="43.2" x14ac:dyDescent="0.3">
      <c r="A2359" s="12" t="s">
        <v>96</v>
      </c>
      <c r="B2359" s="12" t="s">
        <v>2366</v>
      </c>
      <c r="C2359" s="12">
        <v>1313</v>
      </c>
      <c r="D2359" s="12">
        <v>13</v>
      </c>
    </row>
    <row r="2360" spans="1:4" ht="43.2" x14ac:dyDescent="0.3">
      <c r="A2360" s="12" t="s">
        <v>96</v>
      </c>
      <c r="B2360" s="12" t="s">
        <v>2367</v>
      </c>
      <c r="C2360" s="12">
        <v>1194</v>
      </c>
      <c r="D2360" s="12">
        <v>12</v>
      </c>
    </row>
    <row r="2361" spans="1:4" ht="43.2" x14ac:dyDescent="0.3">
      <c r="A2361" s="12" t="s">
        <v>96</v>
      </c>
      <c r="B2361" s="12" t="s">
        <v>2368</v>
      </c>
      <c r="C2361" s="12">
        <v>1082</v>
      </c>
      <c r="D2361" s="12">
        <v>11</v>
      </c>
    </row>
    <row r="2362" spans="1:4" ht="43.2" x14ac:dyDescent="0.3">
      <c r="A2362" s="12" t="s">
        <v>96</v>
      </c>
      <c r="B2362" s="12" t="s">
        <v>2369</v>
      </c>
      <c r="C2362" s="12">
        <v>662</v>
      </c>
      <c r="D2362" s="12">
        <v>7</v>
      </c>
    </row>
    <row r="2363" spans="1:4" ht="43.2" x14ac:dyDescent="0.3">
      <c r="A2363" s="12" t="s">
        <v>96</v>
      </c>
      <c r="B2363" s="12" t="s">
        <v>2370</v>
      </c>
      <c r="C2363" s="12">
        <v>546</v>
      </c>
      <c r="D2363" s="12">
        <v>5</v>
      </c>
    </row>
    <row r="2364" spans="1:4" ht="43.2" x14ac:dyDescent="0.3">
      <c r="A2364" s="12" t="s">
        <v>96</v>
      </c>
      <c r="B2364" s="12" t="s">
        <v>2371</v>
      </c>
      <c r="C2364" s="12">
        <v>1782</v>
      </c>
      <c r="D2364" s="12">
        <v>18</v>
      </c>
    </row>
    <row r="2365" spans="1:4" ht="43.2" x14ac:dyDescent="0.3">
      <c r="A2365" s="12" t="s">
        <v>96</v>
      </c>
      <c r="B2365" s="12" t="s">
        <v>2372</v>
      </c>
      <c r="C2365" s="12">
        <v>1360</v>
      </c>
      <c r="D2365" s="12">
        <v>14</v>
      </c>
    </row>
    <row r="2366" spans="1:4" ht="43.2" x14ac:dyDescent="0.3">
      <c r="A2366" s="12" t="s">
        <v>96</v>
      </c>
      <c r="B2366" s="12" t="s">
        <v>2373</v>
      </c>
      <c r="C2366" s="12">
        <v>200</v>
      </c>
      <c r="D2366" s="12">
        <v>2</v>
      </c>
    </row>
    <row r="2367" spans="1:4" ht="43.2" x14ac:dyDescent="0.3">
      <c r="A2367" s="12" t="s">
        <v>96</v>
      </c>
      <c r="B2367" s="12" t="s">
        <v>2374</v>
      </c>
      <c r="C2367" s="12">
        <v>802</v>
      </c>
      <c r="D2367" s="12">
        <v>8</v>
      </c>
    </row>
    <row r="2368" spans="1:4" ht="43.2" x14ac:dyDescent="0.3">
      <c r="A2368" s="12" t="s">
        <v>96</v>
      </c>
      <c r="B2368" s="12" t="s">
        <v>2375</v>
      </c>
      <c r="C2368" s="12">
        <v>898</v>
      </c>
      <c r="D2368" s="12">
        <v>9</v>
      </c>
    </row>
    <row r="2369" spans="1:4" ht="43.2" x14ac:dyDescent="0.3">
      <c r="A2369" s="12" t="s">
        <v>96</v>
      </c>
      <c r="B2369" s="12" t="s">
        <v>2376</v>
      </c>
      <c r="C2369" s="12">
        <v>852</v>
      </c>
      <c r="D2369" s="12">
        <v>9</v>
      </c>
    </row>
    <row r="2370" spans="1:4" ht="43.2" x14ac:dyDescent="0.3">
      <c r="A2370" s="12" t="s">
        <v>96</v>
      </c>
      <c r="B2370" s="12" t="s">
        <v>2377</v>
      </c>
      <c r="C2370" s="12">
        <v>1052</v>
      </c>
      <c r="D2370" s="12">
        <v>11</v>
      </c>
    </row>
    <row r="2371" spans="1:4" ht="43.2" x14ac:dyDescent="0.3">
      <c r="A2371" s="12" t="s">
        <v>96</v>
      </c>
      <c r="B2371" s="12" t="s">
        <v>2378</v>
      </c>
      <c r="C2371" s="12">
        <v>1100</v>
      </c>
      <c r="D2371" s="12">
        <v>11</v>
      </c>
    </row>
    <row r="2372" spans="1:4" ht="43.2" x14ac:dyDescent="0.3">
      <c r="A2372" s="12" t="s">
        <v>96</v>
      </c>
      <c r="B2372" s="12" t="s">
        <v>2379</v>
      </c>
      <c r="C2372" s="12">
        <v>2412</v>
      </c>
      <c r="D2372" s="12">
        <v>24</v>
      </c>
    </row>
    <row r="2373" spans="1:4" ht="43.2" x14ac:dyDescent="0.3">
      <c r="A2373" s="12" t="s">
        <v>96</v>
      </c>
      <c r="B2373" s="12" t="s">
        <v>2380</v>
      </c>
      <c r="C2373" s="12">
        <v>905</v>
      </c>
      <c r="D2373" s="12">
        <v>9</v>
      </c>
    </row>
    <row r="2374" spans="1:4" ht="43.2" x14ac:dyDescent="0.3">
      <c r="A2374" s="12" t="s">
        <v>96</v>
      </c>
      <c r="B2374" s="12" t="s">
        <v>2381</v>
      </c>
      <c r="C2374" s="12">
        <v>1514</v>
      </c>
      <c r="D2374" s="12">
        <v>15</v>
      </c>
    </row>
    <row r="2375" spans="1:4" ht="43.2" x14ac:dyDescent="0.3">
      <c r="A2375" s="12" t="s">
        <v>96</v>
      </c>
      <c r="B2375" s="12" t="s">
        <v>2382</v>
      </c>
      <c r="C2375" s="12">
        <v>494</v>
      </c>
      <c r="D2375" s="12">
        <v>5</v>
      </c>
    </row>
    <row r="2376" spans="1:4" ht="43.2" x14ac:dyDescent="0.3">
      <c r="A2376" s="12" t="s">
        <v>96</v>
      </c>
      <c r="B2376" s="12" t="s">
        <v>2383</v>
      </c>
      <c r="C2376" s="12">
        <v>1455</v>
      </c>
      <c r="D2376" s="12">
        <v>15</v>
      </c>
    </row>
    <row r="2377" spans="1:4" ht="43.2" x14ac:dyDescent="0.3">
      <c r="A2377" s="12" t="s">
        <v>96</v>
      </c>
      <c r="B2377" s="12" t="s">
        <v>2384</v>
      </c>
      <c r="C2377" s="12">
        <v>1308</v>
      </c>
      <c r="D2377" s="12">
        <v>13</v>
      </c>
    </row>
    <row r="2378" spans="1:4" ht="43.2" x14ac:dyDescent="0.3">
      <c r="A2378" s="12" t="s">
        <v>96</v>
      </c>
      <c r="B2378" s="12" t="s">
        <v>2385</v>
      </c>
      <c r="C2378" s="12">
        <v>1825</v>
      </c>
      <c r="D2378" s="12">
        <v>18</v>
      </c>
    </row>
    <row r="2379" spans="1:4" ht="43.2" x14ac:dyDescent="0.3">
      <c r="A2379" s="12" t="s">
        <v>96</v>
      </c>
      <c r="B2379" s="12" t="s">
        <v>2386</v>
      </c>
      <c r="C2379" s="12">
        <v>2257</v>
      </c>
      <c r="D2379" s="12">
        <v>23</v>
      </c>
    </row>
    <row r="2380" spans="1:4" ht="43.2" x14ac:dyDescent="0.3">
      <c r="A2380" s="12" t="s">
        <v>96</v>
      </c>
      <c r="B2380" s="12" t="s">
        <v>2387</v>
      </c>
      <c r="C2380" s="12">
        <v>2843</v>
      </c>
      <c r="D2380" s="12">
        <v>28</v>
      </c>
    </row>
    <row r="2381" spans="1:4" ht="43.2" x14ac:dyDescent="0.3">
      <c r="A2381" s="12" t="s">
        <v>96</v>
      </c>
      <c r="B2381" s="12" t="s">
        <v>2388</v>
      </c>
      <c r="C2381" s="12">
        <v>3856</v>
      </c>
      <c r="D2381" s="12">
        <v>39</v>
      </c>
    </row>
    <row r="2382" spans="1:4" ht="43.2" x14ac:dyDescent="0.3">
      <c r="A2382" s="12" t="s">
        <v>96</v>
      </c>
      <c r="B2382" s="12" t="s">
        <v>2389</v>
      </c>
      <c r="C2382" s="12">
        <v>411</v>
      </c>
      <c r="D2382" s="12">
        <v>4</v>
      </c>
    </row>
    <row r="2383" spans="1:4" ht="43.2" x14ac:dyDescent="0.3">
      <c r="A2383" s="12" t="s">
        <v>96</v>
      </c>
      <c r="B2383" s="12" t="s">
        <v>2390</v>
      </c>
      <c r="C2383" s="12">
        <v>1817</v>
      </c>
      <c r="D2383" s="12">
        <v>18</v>
      </c>
    </row>
    <row r="2384" spans="1:4" ht="43.2" x14ac:dyDescent="0.3">
      <c r="A2384" s="12" t="s">
        <v>96</v>
      </c>
      <c r="B2384" s="12" t="s">
        <v>2391</v>
      </c>
      <c r="C2384" s="12">
        <v>1313</v>
      </c>
      <c r="D2384" s="12">
        <v>13</v>
      </c>
    </row>
    <row r="2385" spans="1:4" ht="43.2" x14ac:dyDescent="0.3">
      <c r="A2385" s="12" t="s">
        <v>96</v>
      </c>
      <c r="B2385" s="12" t="s">
        <v>2392</v>
      </c>
      <c r="C2385" s="12">
        <v>2767</v>
      </c>
      <c r="D2385" s="12">
        <v>28</v>
      </c>
    </row>
    <row r="2386" spans="1:4" ht="43.2" x14ac:dyDescent="0.3">
      <c r="A2386" s="12" t="s">
        <v>96</v>
      </c>
      <c r="B2386" s="12" t="s">
        <v>2393</v>
      </c>
      <c r="C2386" s="12">
        <v>1194</v>
      </c>
      <c r="D2386" s="12">
        <v>12</v>
      </c>
    </row>
    <row r="2387" spans="1:4" ht="43.2" x14ac:dyDescent="0.3">
      <c r="A2387" s="12" t="s">
        <v>96</v>
      </c>
      <c r="B2387" s="12" t="s">
        <v>2394</v>
      </c>
      <c r="C2387" s="12">
        <v>647</v>
      </c>
      <c r="D2387" s="12">
        <v>6</v>
      </c>
    </row>
    <row r="2388" spans="1:4" ht="43.2" x14ac:dyDescent="0.3">
      <c r="A2388" s="12" t="s">
        <v>96</v>
      </c>
      <c r="B2388" s="12" t="s">
        <v>2395</v>
      </c>
      <c r="C2388" s="12">
        <v>2124</v>
      </c>
      <c r="D2388" s="12">
        <v>21</v>
      </c>
    </row>
    <row r="2389" spans="1:4" ht="43.2" x14ac:dyDescent="0.3">
      <c r="A2389" s="12" t="s">
        <v>96</v>
      </c>
      <c r="B2389" s="12" t="s">
        <v>2396</v>
      </c>
      <c r="C2389" s="12">
        <v>1420</v>
      </c>
      <c r="D2389" s="12">
        <v>14</v>
      </c>
    </row>
    <row r="2390" spans="1:4" ht="43.2" x14ac:dyDescent="0.3">
      <c r="A2390" s="12" t="s">
        <v>96</v>
      </c>
      <c r="B2390" s="12" t="s">
        <v>2397</v>
      </c>
      <c r="C2390" s="12">
        <v>819</v>
      </c>
      <c r="D2390" s="12">
        <v>8</v>
      </c>
    </row>
    <row r="2391" spans="1:4" ht="43.2" x14ac:dyDescent="0.3">
      <c r="A2391" s="12" t="s">
        <v>96</v>
      </c>
      <c r="B2391" s="12" t="s">
        <v>2398</v>
      </c>
      <c r="C2391" s="12">
        <v>1128</v>
      </c>
      <c r="D2391" s="12">
        <v>11</v>
      </c>
    </row>
    <row r="2392" spans="1:4" ht="43.2" x14ac:dyDescent="0.3">
      <c r="A2392" s="12" t="s">
        <v>96</v>
      </c>
      <c r="B2392" s="12" t="s">
        <v>2399</v>
      </c>
      <c r="C2392" s="12">
        <v>1573</v>
      </c>
      <c r="D2392" s="12">
        <v>16</v>
      </c>
    </row>
    <row r="2393" spans="1:4" ht="43.2" x14ac:dyDescent="0.3">
      <c r="A2393" s="12" t="s">
        <v>96</v>
      </c>
      <c r="B2393" s="12" t="s">
        <v>2400</v>
      </c>
      <c r="C2393" s="12">
        <v>1054</v>
      </c>
      <c r="D2393" s="12">
        <v>11</v>
      </c>
    </row>
    <row r="2394" spans="1:4" ht="43.2" x14ac:dyDescent="0.3">
      <c r="A2394" s="12" t="s">
        <v>96</v>
      </c>
      <c r="B2394" s="12" t="s">
        <v>2401</v>
      </c>
      <c r="C2394" s="12">
        <v>934</v>
      </c>
      <c r="D2394" s="12">
        <v>9</v>
      </c>
    </row>
    <row r="2395" spans="1:4" ht="43.2" x14ac:dyDescent="0.3">
      <c r="A2395" s="12" t="s">
        <v>96</v>
      </c>
      <c r="B2395" s="12" t="s">
        <v>2402</v>
      </c>
      <c r="C2395" s="12">
        <v>1252</v>
      </c>
      <c r="D2395" s="12">
        <v>13</v>
      </c>
    </row>
    <row r="2396" spans="1:4" ht="43.2" x14ac:dyDescent="0.3">
      <c r="A2396" s="12" t="s">
        <v>96</v>
      </c>
      <c r="B2396" s="12" t="s">
        <v>2403</v>
      </c>
      <c r="C2396" s="12">
        <v>1522</v>
      </c>
      <c r="D2396" s="12">
        <v>15</v>
      </c>
    </row>
    <row r="2397" spans="1:4" ht="43.2" x14ac:dyDescent="0.3">
      <c r="A2397" s="12" t="s">
        <v>96</v>
      </c>
      <c r="B2397" s="12" t="s">
        <v>2404</v>
      </c>
      <c r="C2397" s="12">
        <v>2926</v>
      </c>
      <c r="D2397" s="12">
        <v>29</v>
      </c>
    </row>
    <row r="2398" spans="1:4" ht="43.2" x14ac:dyDescent="0.3">
      <c r="A2398" s="12" t="s">
        <v>96</v>
      </c>
      <c r="B2398" s="12" t="s">
        <v>2405</v>
      </c>
      <c r="C2398" s="12">
        <v>1264</v>
      </c>
      <c r="D2398" s="12">
        <v>13</v>
      </c>
    </row>
    <row r="2399" spans="1:4" ht="43.2" x14ac:dyDescent="0.3">
      <c r="A2399" s="12" t="s">
        <v>96</v>
      </c>
      <c r="B2399" s="12" t="s">
        <v>2406</v>
      </c>
      <c r="C2399" s="12">
        <v>1151</v>
      </c>
      <c r="D2399" s="12">
        <v>12</v>
      </c>
    </row>
    <row r="2400" spans="1:4" ht="43.2" x14ac:dyDescent="0.3">
      <c r="A2400" s="12" t="s">
        <v>96</v>
      </c>
      <c r="B2400" s="12" t="s">
        <v>2407</v>
      </c>
      <c r="C2400" s="12">
        <v>1259</v>
      </c>
      <c r="D2400" s="12">
        <v>13</v>
      </c>
    </row>
    <row r="2401" spans="1:4" ht="43.2" x14ac:dyDescent="0.3">
      <c r="A2401" s="12" t="s">
        <v>96</v>
      </c>
      <c r="B2401" s="12" t="s">
        <v>2408</v>
      </c>
      <c r="C2401" s="12">
        <v>1967</v>
      </c>
      <c r="D2401" s="12">
        <v>20</v>
      </c>
    </row>
    <row r="2402" spans="1:4" ht="43.2" x14ac:dyDescent="0.3">
      <c r="A2402" s="12" t="s">
        <v>96</v>
      </c>
      <c r="B2402" s="12" t="s">
        <v>2409</v>
      </c>
      <c r="C2402" s="12">
        <v>908</v>
      </c>
      <c r="D2402" s="12">
        <v>9</v>
      </c>
    </row>
    <row r="2403" spans="1:4" ht="43.2" x14ac:dyDescent="0.3">
      <c r="A2403" s="12" t="s">
        <v>96</v>
      </c>
      <c r="B2403" s="12" t="s">
        <v>2410</v>
      </c>
      <c r="C2403" s="12">
        <v>1924</v>
      </c>
      <c r="D2403" s="12">
        <v>19</v>
      </c>
    </row>
    <row r="2404" spans="1:4" ht="43.2" x14ac:dyDescent="0.3">
      <c r="A2404" s="12" t="s">
        <v>96</v>
      </c>
      <c r="B2404" s="12" t="s">
        <v>2411</v>
      </c>
      <c r="C2404" s="12">
        <v>971</v>
      </c>
      <c r="D2404" s="12">
        <v>10</v>
      </c>
    </row>
    <row r="2405" spans="1:4" ht="43.2" x14ac:dyDescent="0.3">
      <c r="A2405" s="12" t="s">
        <v>96</v>
      </c>
      <c r="B2405" s="12" t="s">
        <v>2412</v>
      </c>
      <c r="C2405" s="12">
        <v>1413</v>
      </c>
      <c r="D2405" s="12">
        <v>14</v>
      </c>
    </row>
    <row r="2406" spans="1:4" ht="43.2" x14ac:dyDescent="0.3">
      <c r="A2406" s="12" t="s">
        <v>96</v>
      </c>
      <c r="B2406" s="12" t="s">
        <v>2413</v>
      </c>
      <c r="C2406" s="12">
        <v>1716</v>
      </c>
      <c r="D2406" s="12">
        <v>17</v>
      </c>
    </row>
    <row r="2407" spans="1:4" ht="43.2" x14ac:dyDescent="0.3">
      <c r="A2407" s="12" t="s">
        <v>96</v>
      </c>
      <c r="B2407" s="12" t="s">
        <v>2414</v>
      </c>
      <c r="C2407" s="12">
        <v>1932</v>
      </c>
      <c r="D2407" s="12">
        <v>19</v>
      </c>
    </row>
    <row r="2408" spans="1:4" ht="43.2" x14ac:dyDescent="0.3">
      <c r="A2408" s="12" t="s">
        <v>96</v>
      </c>
      <c r="B2408" s="12" t="s">
        <v>2415</v>
      </c>
      <c r="C2408" s="12">
        <v>558</v>
      </c>
      <c r="D2408" s="12">
        <v>6</v>
      </c>
    </row>
    <row r="2409" spans="1:4" ht="43.2" x14ac:dyDescent="0.3">
      <c r="A2409" s="12" t="s">
        <v>96</v>
      </c>
      <c r="B2409" s="12" t="s">
        <v>2416</v>
      </c>
      <c r="C2409" s="12">
        <v>1367</v>
      </c>
      <c r="D2409" s="12">
        <v>14</v>
      </c>
    </row>
    <row r="2410" spans="1:4" ht="43.2" x14ac:dyDescent="0.3">
      <c r="A2410" s="12" t="s">
        <v>96</v>
      </c>
      <c r="B2410" s="12" t="s">
        <v>2417</v>
      </c>
      <c r="C2410" s="12">
        <v>2167</v>
      </c>
      <c r="D2410" s="12">
        <v>22</v>
      </c>
    </row>
    <row r="2411" spans="1:4" ht="43.2" x14ac:dyDescent="0.3">
      <c r="A2411" s="12" t="s">
        <v>96</v>
      </c>
      <c r="B2411" s="12" t="s">
        <v>2418</v>
      </c>
      <c r="C2411" s="12">
        <v>1109</v>
      </c>
      <c r="D2411" s="12">
        <v>11</v>
      </c>
    </row>
    <row r="2412" spans="1:4" ht="43.2" x14ac:dyDescent="0.3">
      <c r="A2412" s="12" t="s">
        <v>96</v>
      </c>
      <c r="B2412" s="12" t="s">
        <v>2419</v>
      </c>
      <c r="C2412" s="12">
        <v>893</v>
      </c>
      <c r="D2412" s="12">
        <v>9</v>
      </c>
    </row>
    <row r="2413" spans="1:4" ht="43.2" x14ac:dyDescent="0.3">
      <c r="A2413" s="12" t="s">
        <v>96</v>
      </c>
      <c r="B2413" s="12" t="s">
        <v>2420</v>
      </c>
      <c r="C2413" s="12">
        <v>423</v>
      </c>
      <c r="D2413" s="12">
        <v>4</v>
      </c>
    </row>
    <row r="2414" spans="1:4" ht="43.2" x14ac:dyDescent="0.3">
      <c r="A2414" s="12" t="s">
        <v>96</v>
      </c>
      <c r="B2414" s="12" t="s">
        <v>2421</v>
      </c>
      <c r="C2414" s="12">
        <v>944</v>
      </c>
      <c r="D2414" s="12">
        <v>9</v>
      </c>
    </row>
    <row r="2415" spans="1:4" ht="43.2" x14ac:dyDescent="0.3">
      <c r="A2415" s="12" t="s">
        <v>96</v>
      </c>
      <c r="B2415" s="12" t="s">
        <v>2422</v>
      </c>
      <c r="C2415" s="12">
        <v>1473</v>
      </c>
      <c r="D2415" s="12">
        <v>15</v>
      </c>
    </row>
    <row r="2416" spans="1:4" ht="43.2" x14ac:dyDescent="0.3">
      <c r="A2416" s="12" t="s">
        <v>96</v>
      </c>
      <c r="B2416" s="12" t="s">
        <v>2423</v>
      </c>
      <c r="C2416" s="12">
        <v>1111</v>
      </c>
      <c r="D2416" s="12">
        <v>11</v>
      </c>
    </row>
    <row r="2417" spans="1:4" ht="43.2" x14ac:dyDescent="0.3">
      <c r="A2417" s="12" t="s">
        <v>96</v>
      </c>
      <c r="B2417" s="12" t="s">
        <v>2424</v>
      </c>
      <c r="C2417" s="12">
        <v>1293</v>
      </c>
      <c r="D2417" s="12">
        <v>13</v>
      </c>
    </row>
    <row r="2418" spans="1:4" ht="43.2" x14ac:dyDescent="0.3">
      <c r="A2418" s="12" t="s">
        <v>96</v>
      </c>
      <c r="B2418" s="12" t="s">
        <v>2425</v>
      </c>
      <c r="C2418" s="12">
        <v>1050</v>
      </c>
      <c r="D2418" s="12">
        <v>10</v>
      </c>
    </row>
    <row r="2419" spans="1:4" ht="43.2" x14ac:dyDescent="0.3">
      <c r="A2419" s="12" t="s">
        <v>96</v>
      </c>
      <c r="B2419" s="12" t="s">
        <v>2426</v>
      </c>
      <c r="C2419" s="12">
        <v>870</v>
      </c>
      <c r="D2419" s="12">
        <v>9</v>
      </c>
    </row>
    <row r="2420" spans="1:4" ht="43.2" x14ac:dyDescent="0.3">
      <c r="A2420" s="12" t="s">
        <v>96</v>
      </c>
      <c r="B2420" s="12" t="s">
        <v>2427</v>
      </c>
      <c r="C2420" s="12">
        <v>1881</v>
      </c>
      <c r="D2420" s="12">
        <v>19</v>
      </c>
    </row>
    <row r="2421" spans="1:4" ht="43.2" x14ac:dyDescent="0.3">
      <c r="A2421" s="12" t="s">
        <v>96</v>
      </c>
      <c r="B2421" s="12" t="s">
        <v>2428</v>
      </c>
      <c r="C2421" s="12">
        <v>1478</v>
      </c>
      <c r="D2421" s="12">
        <v>15</v>
      </c>
    </row>
    <row r="2422" spans="1:4" ht="43.2" x14ac:dyDescent="0.3">
      <c r="A2422" s="12" t="s">
        <v>96</v>
      </c>
      <c r="B2422" s="12" t="s">
        <v>2429</v>
      </c>
      <c r="C2422" s="12">
        <v>1171</v>
      </c>
      <c r="D2422" s="12">
        <v>12</v>
      </c>
    </row>
    <row r="2423" spans="1:4" ht="43.2" x14ac:dyDescent="0.3">
      <c r="A2423" s="12" t="s">
        <v>96</v>
      </c>
      <c r="B2423" s="12" t="s">
        <v>2430</v>
      </c>
      <c r="C2423" s="12">
        <v>1385</v>
      </c>
      <c r="D2423" s="12">
        <v>14</v>
      </c>
    </row>
    <row r="2424" spans="1:4" ht="43.2" x14ac:dyDescent="0.3">
      <c r="A2424" s="12" t="s">
        <v>96</v>
      </c>
      <c r="B2424" s="12" t="s">
        <v>2431</v>
      </c>
      <c r="C2424" s="12">
        <v>1166</v>
      </c>
      <c r="D2424" s="12">
        <v>12</v>
      </c>
    </row>
    <row r="2425" spans="1:4" ht="43.2" x14ac:dyDescent="0.3">
      <c r="A2425" s="12" t="s">
        <v>96</v>
      </c>
      <c r="B2425" s="12" t="s">
        <v>2432</v>
      </c>
      <c r="C2425" s="12">
        <v>1399</v>
      </c>
      <c r="D2425" s="12">
        <v>14</v>
      </c>
    </row>
    <row r="2426" spans="1:4" ht="43.2" x14ac:dyDescent="0.3">
      <c r="A2426" s="12" t="s">
        <v>96</v>
      </c>
      <c r="B2426" s="12" t="s">
        <v>2433</v>
      </c>
      <c r="C2426" s="12">
        <v>871</v>
      </c>
      <c r="D2426" s="12">
        <v>9</v>
      </c>
    </row>
    <row r="2427" spans="1:4" ht="43.2" x14ac:dyDescent="0.3">
      <c r="A2427" s="12" t="s">
        <v>96</v>
      </c>
      <c r="B2427" s="12" t="s">
        <v>2434</v>
      </c>
      <c r="C2427" s="12">
        <v>1379</v>
      </c>
      <c r="D2427" s="12">
        <v>14</v>
      </c>
    </row>
    <row r="2428" spans="1:4" ht="43.2" x14ac:dyDescent="0.3">
      <c r="A2428" s="12" t="s">
        <v>96</v>
      </c>
      <c r="B2428" s="12" t="s">
        <v>2435</v>
      </c>
      <c r="C2428" s="12">
        <v>2223</v>
      </c>
      <c r="D2428" s="12">
        <v>22</v>
      </c>
    </row>
    <row r="2429" spans="1:4" ht="43.2" x14ac:dyDescent="0.3">
      <c r="A2429" s="12" t="s">
        <v>96</v>
      </c>
      <c r="B2429" s="12" t="s">
        <v>2436</v>
      </c>
      <c r="C2429" s="12">
        <v>883</v>
      </c>
      <c r="D2429" s="12">
        <v>9</v>
      </c>
    </row>
    <row r="2430" spans="1:4" ht="43.2" x14ac:dyDescent="0.3">
      <c r="A2430" s="12" t="s">
        <v>96</v>
      </c>
      <c r="B2430" s="12" t="s">
        <v>2437</v>
      </c>
      <c r="C2430" s="12">
        <v>1295</v>
      </c>
      <c r="D2430" s="12">
        <v>13</v>
      </c>
    </row>
    <row r="2431" spans="1:4" ht="43.2" x14ac:dyDescent="0.3">
      <c r="A2431" s="12" t="s">
        <v>96</v>
      </c>
      <c r="B2431" s="12" t="s">
        <v>2438</v>
      </c>
      <c r="C2431" s="12">
        <v>1161</v>
      </c>
      <c r="D2431" s="12">
        <v>12</v>
      </c>
    </row>
    <row r="2432" spans="1:4" ht="43.2" x14ac:dyDescent="0.3">
      <c r="A2432" s="12" t="s">
        <v>96</v>
      </c>
      <c r="B2432" s="12" t="s">
        <v>2439</v>
      </c>
      <c r="C2432" s="12">
        <v>1069</v>
      </c>
      <c r="D2432" s="12">
        <v>11</v>
      </c>
    </row>
    <row r="2433" spans="1:4" ht="43.2" x14ac:dyDescent="0.3">
      <c r="A2433" s="12" t="s">
        <v>96</v>
      </c>
      <c r="B2433" s="12" t="s">
        <v>2440</v>
      </c>
      <c r="C2433" s="12">
        <v>1423</v>
      </c>
      <c r="D2433" s="12">
        <v>14</v>
      </c>
    </row>
    <row r="2434" spans="1:4" ht="43.2" x14ac:dyDescent="0.3">
      <c r="A2434" s="12" t="s">
        <v>96</v>
      </c>
      <c r="B2434" s="12" t="s">
        <v>2441</v>
      </c>
      <c r="C2434" s="12">
        <v>933</v>
      </c>
      <c r="D2434" s="12">
        <v>9</v>
      </c>
    </row>
    <row r="2435" spans="1:4" ht="43.2" x14ac:dyDescent="0.3">
      <c r="A2435" s="12" t="s">
        <v>96</v>
      </c>
      <c r="B2435" s="12" t="s">
        <v>2442</v>
      </c>
      <c r="C2435" s="12">
        <v>1665</v>
      </c>
      <c r="D2435" s="12">
        <v>17</v>
      </c>
    </row>
    <row r="2436" spans="1:4" ht="43.2" x14ac:dyDescent="0.3">
      <c r="A2436" s="12" t="s">
        <v>96</v>
      </c>
      <c r="B2436" s="12" t="s">
        <v>2443</v>
      </c>
      <c r="C2436" s="12">
        <v>1022</v>
      </c>
      <c r="D2436" s="12">
        <v>10</v>
      </c>
    </row>
    <row r="2437" spans="1:4" ht="43.2" x14ac:dyDescent="0.3">
      <c r="A2437" s="12" t="s">
        <v>96</v>
      </c>
      <c r="B2437" s="12" t="s">
        <v>2444</v>
      </c>
      <c r="C2437" s="12">
        <v>1987</v>
      </c>
      <c r="D2437" s="12">
        <v>20</v>
      </c>
    </row>
    <row r="2438" spans="1:4" ht="43.2" x14ac:dyDescent="0.3">
      <c r="A2438" s="12" t="s">
        <v>96</v>
      </c>
      <c r="B2438" s="12" t="s">
        <v>2445</v>
      </c>
      <c r="C2438" s="12">
        <v>1571</v>
      </c>
      <c r="D2438" s="12">
        <v>16</v>
      </c>
    </row>
    <row r="2439" spans="1:4" ht="43.2" x14ac:dyDescent="0.3">
      <c r="A2439" s="12" t="s">
        <v>96</v>
      </c>
      <c r="B2439" s="12" t="s">
        <v>2446</v>
      </c>
      <c r="C2439" s="12">
        <v>3710</v>
      </c>
      <c r="D2439" s="12">
        <v>37</v>
      </c>
    </row>
    <row r="2440" spans="1:4" ht="43.2" x14ac:dyDescent="0.3">
      <c r="A2440" s="12" t="s">
        <v>96</v>
      </c>
      <c r="B2440" s="12" t="s">
        <v>2447</v>
      </c>
      <c r="C2440" s="12">
        <v>2437</v>
      </c>
      <c r="D2440" s="12">
        <v>24</v>
      </c>
    </row>
    <row r="2441" spans="1:4" ht="43.2" x14ac:dyDescent="0.3">
      <c r="A2441" s="12" t="s">
        <v>96</v>
      </c>
      <c r="B2441" s="12" t="s">
        <v>2448</v>
      </c>
      <c r="C2441" s="12">
        <v>3677</v>
      </c>
      <c r="D2441" s="12">
        <v>37</v>
      </c>
    </row>
    <row r="2442" spans="1:4" ht="43.2" x14ac:dyDescent="0.3">
      <c r="A2442" s="12" t="s">
        <v>96</v>
      </c>
      <c r="B2442" s="12" t="s">
        <v>2449</v>
      </c>
      <c r="C2442" s="12">
        <v>1667</v>
      </c>
      <c r="D2442" s="12">
        <v>17</v>
      </c>
    </row>
    <row r="2443" spans="1:4" ht="43.2" x14ac:dyDescent="0.3">
      <c r="A2443" s="12" t="s">
        <v>96</v>
      </c>
      <c r="B2443" s="12" t="s">
        <v>2450</v>
      </c>
      <c r="C2443" s="12">
        <v>1615</v>
      </c>
      <c r="D2443" s="12">
        <v>16</v>
      </c>
    </row>
    <row r="2444" spans="1:4" ht="43.2" x14ac:dyDescent="0.3">
      <c r="A2444" s="12" t="s">
        <v>96</v>
      </c>
      <c r="B2444" s="12" t="s">
        <v>2451</v>
      </c>
      <c r="C2444" s="12">
        <v>1235</v>
      </c>
      <c r="D2444" s="12">
        <v>12</v>
      </c>
    </row>
    <row r="2445" spans="1:4" ht="43.2" x14ac:dyDescent="0.3">
      <c r="A2445" s="12" t="s">
        <v>96</v>
      </c>
      <c r="B2445" s="12" t="s">
        <v>2452</v>
      </c>
      <c r="C2445" s="12">
        <v>2294</v>
      </c>
      <c r="D2445" s="12">
        <v>23</v>
      </c>
    </row>
    <row r="2446" spans="1:4" ht="43.2" x14ac:dyDescent="0.3">
      <c r="A2446" s="12" t="s">
        <v>96</v>
      </c>
      <c r="B2446" s="12" t="s">
        <v>2453</v>
      </c>
      <c r="C2446" s="12">
        <v>1508</v>
      </c>
      <c r="D2446" s="12">
        <v>15</v>
      </c>
    </row>
    <row r="2447" spans="1:4" ht="43.2" x14ac:dyDescent="0.3">
      <c r="A2447" s="12" t="s">
        <v>96</v>
      </c>
      <c r="B2447" s="12" t="s">
        <v>2454</v>
      </c>
      <c r="C2447" s="12">
        <v>1044</v>
      </c>
      <c r="D2447" s="12">
        <v>10</v>
      </c>
    </row>
    <row r="2448" spans="1:4" ht="43.2" x14ac:dyDescent="0.3">
      <c r="A2448" s="12" t="s">
        <v>96</v>
      </c>
      <c r="B2448" s="12" t="s">
        <v>2455</v>
      </c>
      <c r="C2448" s="12">
        <v>2008</v>
      </c>
      <c r="D2448" s="12">
        <v>20</v>
      </c>
    </row>
    <row r="2449" spans="1:4" ht="43.2" x14ac:dyDescent="0.3">
      <c r="A2449" s="12" t="s">
        <v>96</v>
      </c>
      <c r="B2449" s="12" t="s">
        <v>2456</v>
      </c>
      <c r="C2449" s="12">
        <v>1048</v>
      </c>
      <c r="D2449" s="12">
        <v>10</v>
      </c>
    </row>
    <row r="2450" spans="1:4" ht="43.2" x14ac:dyDescent="0.3">
      <c r="A2450" s="12" t="s">
        <v>96</v>
      </c>
      <c r="B2450" s="12" t="s">
        <v>2457</v>
      </c>
      <c r="C2450" s="12">
        <v>933</v>
      </c>
      <c r="D2450" s="12">
        <v>9</v>
      </c>
    </row>
    <row r="2451" spans="1:4" ht="43.2" x14ac:dyDescent="0.3">
      <c r="A2451" s="12" t="s">
        <v>96</v>
      </c>
      <c r="B2451" s="12" t="s">
        <v>2458</v>
      </c>
      <c r="C2451" s="12">
        <v>831</v>
      </c>
      <c r="D2451" s="12">
        <v>8</v>
      </c>
    </row>
    <row r="2452" spans="1:4" ht="43.2" x14ac:dyDescent="0.3">
      <c r="A2452" s="12" t="s">
        <v>96</v>
      </c>
      <c r="B2452" s="12" t="s">
        <v>2459</v>
      </c>
      <c r="C2452" s="12">
        <v>787</v>
      </c>
      <c r="D2452" s="12">
        <v>8</v>
      </c>
    </row>
    <row r="2453" spans="1:4" ht="43.2" x14ac:dyDescent="0.3">
      <c r="A2453" s="12" t="s">
        <v>96</v>
      </c>
      <c r="B2453" s="12" t="s">
        <v>2460</v>
      </c>
      <c r="C2453" s="12">
        <v>2351</v>
      </c>
      <c r="D2453" s="12">
        <v>24</v>
      </c>
    </row>
    <row r="2454" spans="1:4" ht="43.2" x14ac:dyDescent="0.3">
      <c r="A2454" s="12" t="s">
        <v>96</v>
      </c>
      <c r="B2454" s="12" t="s">
        <v>2461</v>
      </c>
      <c r="C2454" s="12">
        <v>916</v>
      </c>
      <c r="D2454" s="12">
        <v>9</v>
      </c>
    </row>
    <row r="2455" spans="1:4" ht="43.2" x14ac:dyDescent="0.3">
      <c r="A2455" s="12" t="s">
        <v>96</v>
      </c>
      <c r="B2455" s="12" t="s">
        <v>2462</v>
      </c>
      <c r="C2455" s="12">
        <v>1621</v>
      </c>
      <c r="D2455" s="12">
        <v>16</v>
      </c>
    </row>
    <row r="2456" spans="1:4" ht="43.2" x14ac:dyDescent="0.3">
      <c r="A2456" s="12" t="s">
        <v>96</v>
      </c>
      <c r="B2456" s="12" t="s">
        <v>2463</v>
      </c>
      <c r="C2456" s="12">
        <v>1827</v>
      </c>
      <c r="D2456" s="12">
        <v>18</v>
      </c>
    </row>
    <row r="2457" spans="1:4" ht="43.2" x14ac:dyDescent="0.3">
      <c r="A2457" s="12" t="s">
        <v>96</v>
      </c>
      <c r="B2457" s="12" t="s">
        <v>2464</v>
      </c>
      <c r="C2457" s="12">
        <v>288</v>
      </c>
      <c r="D2457" s="12">
        <v>3</v>
      </c>
    </row>
    <row r="2458" spans="1:4" ht="43.2" x14ac:dyDescent="0.3">
      <c r="A2458" s="12" t="s">
        <v>96</v>
      </c>
      <c r="B2458" s="12" t="s">
        <v>2465</v>
      </c>
      <c r="C2458" s="12">
        <v>1717</v>
      </c>
      <c r="D2458" s="12">
        <v>17</v>
      </c>
    </row>
    <row r="2459" spans="1:4" ht="43.2" x14ac:dyDescent="0.3">
      <c r="A2459" s="12" t="s">
        <v>96</v>
      </c>
      <c r="B2459" s="12" t="s">
        <v>2466</v>
      </c>
      <c r="C2459" s="12">
        <v>2599</v>
      </c>
      <c r="D2459" s="12">
        <v>26</v>
      </c>
    </row>
    <row r="2460" spans="1:4" ht="43.2" x14ac:dyDescent="0.3">
      <c r="A2460" s="12" t="s">
        <v>96</v>
      </c>
      <c r="B2460" s="12" t="s">
        <v>2467</v>
      </c>
      <c r="C2460" s="12">
        <v>614</v>
      </c>
      <c r="D2460" s="12">
        <v>6</v>
      </c>
    </row>
    <row r="2461" spans="1:4" ht="43.2" x14ac:dyDescent="0.3">
      <c r="A2461" s="12" t="s">
        <v>96</v>
      </c>
      <c r="B2461" s="12" t="s">
        <v>2468</v>
      </c>
      <c r="C2461" s="12">
        <v>1442</v>
      </c>
      <c r="D2461" s="12">
        <v>14</v>
      </c>
    </row>
    <row r="2462" spans="1:4" ht="43.2" x14ac:dyDescent="0.3">
      <c r="A2462" s="12" t="s">
        <v>96</v>
      </c>
      <c r="B2462" s="12" t="s">
        <v>2469</v>
      </c>
      <c r="C2462" s="12">
        <v>1157</v>
      </c>
      <c r="D2462" s="12">
        <v>12</v>
      </c>
    </row>
    <row r="2463" spans="1:4" ht="43.2" x14ac:dyDescent="0.3">
      <c r="A2463" s="12" t="s">
        <v>96</v>
      </c>
      <c r="B2463" s="12" t="s">
        <v>2470</v>
      </c>
      <c r="C2463" s="12">
        <v>2009</v>
      </c>
      <c r="D2463" s="12">
        <v>20</v>
      </c>
    </row>
    <row r="2464" spans="1:4" ht="43.2" x14ac:dyDescent="0.3">
      <c r="A2464" s="12" t="s">
        <v>96</v>
      </c>
      <c r="B2464" s="12" t="s">
        <v>2471</v>
      </c>
      <c r="C2464" s="12">
        <v>2555</v>
      </c>
      <c r="D2464" s="12">
        <v>26</v>
      </c>
    </row>
    <row r="2465" spans="1:4" ht="43.2" x14ac:dyDescent="0.3">
      <c r="A2465" s="12" t="s">
        <v>96</v>
      </c>
      <c r="B2465" s="12" t="s">
        <v>2472</v>
      </c>
      <c r="C2465" s="12">
        <v>783</v>
      </c>
      <c r="D2465" s="12">
        <v>8</v>
      </c>
    </row>
    <row r="2466" spans="1:4" ht="43.2" x14ac:dyDescent="0.3">
      <c r="A2466" s="12" t="s">
        <v>96</v>
      </c>
      <c r="B2466" s="12" t="s">
        <v>2473</v>
      </c>
      <c r="C2466" s="12">
        <v>1002</v>
      </c>
      <c r="D2466" s="12">
        <v>10</v>
      </c>
    </row>
    <row r="2467" spans="1:4" ht="43.2" x14ac:dyDescent="0.3">
      <c r="A2467" s="12" t="s">
        <v>96</v>
      </c>
      <c r="B2467" s="12" t="s">
        <v>2474</v>
      </c>
      <c r="C2467" s="12">
        <v>1296</v>
      </c>
      <c r="D2467" s="12">
        <v>13</v>
      </c>
    </row>
    <row r="2468" spans="1:4" ht="43.2" x14ac:dyDescent="0.3">
      <c r="A2468" s="12" t="s">
        <v>96</v>
      </c>
      <c r="B2468" s="12" t="s">
        <v>2475</v>
      </c>
      <c r="C2468" s="12">
        <v>1133</v>
      </c>
      <c r="D2468" s="12">
        <v>11</v>
      </c>
    </row>
    <row r="2469" spans="1:4" ht="43.2" x14ac:dyDescent="0.3">
      <c r="A2469" s="12" t="s">
        <v>96</v>
      </c>
      <c r="B2469" s="12" t="s">
        <v>2476</v>
      </c>
      <c r="C2469" s="12">
        <v>2068</v>
      </c>
      <c r="D2469" s="12">
        <v>21</v>
      </c>
    </row>
    <row r="2470" spans="1:4" ht="43.2" x14ac:dyDescent="0.3">
      <c r="A2470" s="12" t="s">
        <v>96</v>
      </c>
      <c r="B2470" s="12" t="s">
        <v>2477</v>
      </c>
      <c r="C2470" s="12">
        <v>1091</v>
      </c>
      <c r="D2470" s="12">
        <v>11</v>
      </c>
    </row>
    <row r="2471" spans="1:4" ht="43.2" x14ac:dyDescent="0.3">
      <c r="A2471" s="12" t="s">
        <v>96</v>
      </c>
      <c r="B2471" s="12" t="s">
        <v>2478</v>
      </c>
      <c r="C2471" s="12">
        <v>1382</v>
      </c>
      <c r="D2471" s="12">
        <v>14</v>
      </c>
    </row>
    <row r="2472" spans="1:4" ht="43.2" x14ac:dyDescent="0.3">
      <c r="A2472" s="12" t="s">
        <v>96</v>
      </c>
      <c r="B2472" s="12" t="s">
        <v>2479</v>
      </c>
      <c r="C2472" s="12">
        <v>2102</v>
      </c>
      <c r="D2472" s="12">
        <v>21</v>
      </c>
    </row>
    <row r="2473" spans="1:4" ht="43.2" x14ac:dyDescent="0.3">
      <c r="A2473" s="12" t="s">
        <v>96</v>
      </c>
      <c r="B2473" s="12" t="s">
        <v>2480</v>
      </c>
      <c r="C2473" s="12">
        <v>845</v>
      </c>
      <c r="D2473" s="12">
        <v>8</v>
      </c>
    </row>
    <row r="2474" spans="1:4" ht="43.2" x14ac:dyDescent="0.3">
      <c r="A2474" s="12" t="s">
        <v>96</v>
      </c>
      <c r="B2474" s="12" t="s">
        <v>2481</v>
      </c>
      <c r="C2474" s="12">
        <v>1691</v>
      </c>
      <c r="D2474" s="12">
        <v>17</v>
      </c>
    </row>
    <row r="2475" spans="1:4" ht="43.2" x14ac:dyDescent="0.3">
      <c r="A2475" s="12" t="s">
        <v>96</v>
      </c>
      <c r="B2475" s="12" t="s">
        <v>2482</v>
      </c>
      <c r="C2475" s="12">
        <v>955</v>
      </c>
      <c r="D2475" s="12">
        <v>10</v>
      </c>
    </row>
    <row r="2476" spans="1:4" ht="43.2" x14ac:dyDescent="0.3">
      <c r="A2476" s="12" t="s">
        <v>96</v>
      </c>
      <c r="B2476" s="12" t="s">
        <v>2483</v>
      </c>
      <c r="C2476" s="12">
        <v>356</v>
      </c>
      <c r="D2476" s="12">
        <v>4</v>
      </c>
    </row>
    <row r="2477" spans="1:4" ht="43.2" x14ac:dyDescent="0.3">
      <c r="A2477" s="12" t="s">
        <v>96</v>
      </c>
      <c r="B2477" s="12" t="s">
        <v>2484</v>
      </c>
      <c r="C2477" s="12">
        <v>1558</v>
      </c>
      <c r="D2477" s="12">
        <v>16</v>
      </c>
    </row>
    <row r="2478" spans="1:4" ht="43.2" x14ac:dyDescent="0.3">
      <c r="A2478" s="12" t="s">
        <v>96</v>
      </c>
      <c r="B2478" s="12" t="s">
        <v>2485</v>
      </c>
      <c r="C2478" s="12">
        <v>1122</v>
      </c>
      <c r="D2478" s="12">
        <v>11</v>
      </c>
    </row>
    <row r="2479" spans="1:4" ht="43.2" x14ac:dyDescent="0.3">
      <c r="A2479" s="12" t="s">
        <v>96</v>
      </c>
      <c r="B2479" s="12" t="s">
        <v>2486</v>
      </c>
      <c r="C2479" s="12">
        <v>3076</v>
      </c>
      <c r="D2479" s="12">
        <v>31</v>
      </c>
    </row>
    <row r="2480" spans="1:4" ht="43.2" x14ac:dyDescent="0.3">
      <c r="A2480" s="12" t="s">
        <v>96</v>
      </c>
      <c r="B2480" s="12" t="s">
        <v>2487</v>
      </c>
      <c r="C2480" s="12">
        <v>2538</v>
      </c>
      <c r="D2480" s="12">
        <v>25</v>
      </c>
    </row>
    <row r="2481" spans="1:4" ht="43.2" x14ac:dyDescent="0.3">
      <c r="A2481" s="12" t="s">
        <v>96</v>
      </c>
      <c r="B2481" s="12" t="s">
        <v>2488</v>
      </c>
      <c r="C2481" s="12">
        <v>2184</v>
      </c>
      <c r="D2481" s="12">
        <v>22</v>
      </c>
    </row>
    <row r="2482" spans="1:4" ht="43.2" x14ac:dyDescent="0.3">
      <c r="A2482" s="12" t="s">
        <v>96</v>
      </c>
      <c r="B2482" s="12" t="s">
        <v>2489</v>
      </c>
      <c r="C2482" s="12">
        <v>1783</v>
      </c>
      <c r="D2482" s="12">
        <v>18</v>
      </c>
    </row>
    <row r="2483" spans="1:4" ht="43.2" x14ac:dyDescent="0.3">
      <c r="A2483" s="12" t="s">
        <v>96</v>
      </c>
      <c r="B2483" s="12" t="s">
        <v>2490</v>
      </c>
      <c r="C2483" s="12">
        <v>1792</v>
      </c>
      <c r="D2483" s="12">
        <v>18</v>
      </c>
    </row>
    <row r="2484" spans="1:4" ht="43.2" x14ac:dyDescent="0.3">
      <c r="A2484" s="12" t="s">
        <v>96</v>
      </c>
      <c r="B2484" s="12" t="s">
        <v>2491</v>
      </c>
      <c r="C2484" s="12">
        <v>1167</v>
      </c>
      <c r="D2484" s="12">
        <v>12</v>
      </c>
    </row>
    <row r="2485" spans="1:4" ht="43.2" x14ac:dyDescent="0.3">
      <c r="A2485" s="12" t="s">
        <v>96</v>
      </c>
      <c r="B2485" s="12" t="s">
        <v>2492</v>
      </c>
      <c r="C2485" s="12">
        <v>2780</v>
      </c>
      <c r="D2485" s="12">
        <v>28</v>
      </c>
    </row>
    <row r="2486" spans="1:4" ht="43.2" x14ac:dyDescent="0.3">
      <c r="A2486" s="12" t="s">
        <v>96</v>
      </c>
      <c r="B2486" s="12" t="s">
        <v>2493</v>
      </c>
      <c r="C2486" s="12">
        <v>1227</v>
      </c>
      <c r="D2486" s="12">
        <v>12</v>
      </c>
    </row>
    <row r="2487" spans="1:4" ht="43.2" x14ac:dyDescent="0.3">
      <c r="A2487" s="12" t="s">
        <v>96</v>
      </c>
      <c r="B2487" s="12" t="s">
        <v>2494</v>
      </c>
      <c r="C2487" s="12">
        <v>926</v>
      </c>
      <c r="D2487" s="12">
        <v>9</v>
      </c>
    </row>
    <row r="2488" spans="1:4" ht="43.2" x14ac:dyDescent="0.3">
      <c r="A2488" s="12" t="s">
        <v>96</v>
      </c>
      <c r="B2488" s="12" t="s">
        <v>2495</v>
      </c>
      <c r="C2488" s="12">
        <v>1892</v>
      </c>
      <c r="D2488" s="12">
        <v>19</v>
      </c>
    </row>
    <row r="2489" spans="1:4" ht="43.2" x14ac:dyDescent="0.3">
      <c r="A2489" s="12" t="s">
        <v>96</v>
      </c>
      <c r="B2489" s="12" t="s">
        <v>2496</v>
      </c>
      <c r="C2489" s="12">
        <v>1455</v>
      </c>
      <c r="D2489" s="12">
        <v>15</v>
      </c>
    </row>
    <row r="2490" spans="1:4" ht="43.2" x14ac:dyDescent="0.3">
      <c r="A2490" s="12" t="s">
        <v>96</v>
      </c>
      <c r="B2490" s="12" t="s">
        <v>2497</v>
      </c>
      <c r="C2490" s="12">
        <v>2712</v>
      </c>
      <c r="D2490" s="12">
        <v>27</v>
      </c>
    </row>
    <row r="2491" spans="1:4" ht="43.2" x14ac:dyDescent="0.3">
      <c r="A2491" s="12" t="s">
        <v>96</v>
      </c>
      <c r="B2491" s="12" t="s">
        <v>2498</v>
      </c>
      <c r="C2491" s="12">
        <v>945</v>
      </c>
      <c r="D2491" s="12">
        <v>9</v>
      </c>
    </row>
    <row r="2492" spans="1:4" ht="43.2" x14ac:dyDescent="0.3">
      <c r="A2492" s="12" t="s">
        <v>96</v>
      </c>
      <c r="B2492" s="12" t="s">
        <v>2499</v>
      </c>
      <c r="C2492" s="12">
        <v>1199</v>
      </c>
      <c r="D2492" s="12">
        <v>12</v>
      </c>
    </row>
    <row r="2493" spans="1:4" ht="43.2" x14ac:dyDescent="0.3">
      <c r="A2493" s="12" t="s">
        <v>96</v>
      </c>
      <c r="B2493" s="12" t="s">
        <v>2500</v>
      </c>
      <c r="C2493" s="12">
        <v>1500</v>
      </c>
      <c r="D2493" s="12">
        <v>15</v>
      </c>
    </row>
    <row r="2494" spans="1:4" ht="43.2" x14ac:dyDescent="0.3">
      <c r="A2494" s="12" t="s">
        <v>96</v>
      </c>
      <c r="B2494" s="12" t="s">
        <v>2501</v>
      </c>
      <c r="C2494" s="12">
        <v>1295</v>
      </c>
      <c r="D2494" s="12">
        <v>13</v>
      </c>
    </row>
    <row r="2495" spans="1:4" ht="43.2" x14ac:dyDescent="0.3">
      <c r="A2495" s="12" t="s">
        <v>96</v>
      </c>
      <c r="B2495" s="12" t="s">
        <v>2502</v>
      </c>
      <c r="C2495" s="12">
        <v>1623</v>
      </c>
      <c r="D2495" s="12">
        <v>16</v>
      </c>
    </row>
    <row r="2496" spans="1:4" ht="43.2" x14ac:dyDescent="0.3">
      <c r="A2496" s="12" t="s">
        <v>96</v>
      </c>
      <c r="B2496" s="12" t="s">
        <v>2503</v>
      </c>
      <c r="C2496" s="12">
        <v>2496</v>
      </c>
      <c r="D2496" s="12">
        <v>25</v>
      </c>
    </row>
    <row r="2497" spans="1:4" ht="43.2" x14ac:dyDescent="0.3">
      <c r="A2497" s="12" t="s">
        <v>96</v>
      </c>
      <c r="B2497" s="12" t="s">
        <v>2504</v>
      </c>
      <c r="C2497" s="12">
        <v>2611</v>
      </c>
      <c r="D2497" s="12">
        <v>26</v>
      </c>
    </row>
    <row r="2498" spans="1:4" ht="43.2" x14ac:dyDescent="0.3">
      <c r="A2498" s="12" t="s">
        <v>96</v>
      </c>
      <c r="B2498" s="12" t="s">
        <v>2505</v>
      </c>
      <c r="C2498" s="12">
        <v>1388</v>
      </c>
      <c r="D2498" s="12">
        <v>14</v>
      </c>
    </row>
    <row r="2499" spans="1:4" ht="43.2" x14ac:dyDescent="0.3">
      <c r="A2499" s="12" t="s">
        <v>96</v>
      </c>
      <c r="B2499" s="12" t="s">
        <v>2506</v>
      </c>
      <c r="C2499" s="12">
        <v>232</v>
      </c>
      <c r="D2499" s="12">
        <v>2</v>
      </c>
    </row>
    <row r="2500" spans="1:4" ht="43.2" x14ac:dyDescent="0.3">
      <c r="A2500" s="12" t="s">
        <v>96</v>
      </c>
      <c r="B2500" s="12" t="s">
        <v>2507</v>
      </c>
      <c r="C2500" s="12">
        <v>1773</v>
      </c>
      <c r="D2500" s="12">
        <v>18</v>
      </c>
    </row>
    <row r="2501" spans="1:4" ht="43.2" x14ac:dyDescent="0.3">
      <c r="A2501" s="12" t="s">
        <v>96</v>
      </c>
      <c r="B2501" s="12" t="s">
        <v>2508</v>
      </c>
      <c r="C2501" s="12">
        <v>1413</v>
      </c>
      <c r="D2501" s="12">
        <v>14</v>
      </c>
    </row>
    <row r="2502" spans="1:4" ht="43.2" x14ac:dyDescent="0.3">
      <c r="A2502" s="12" t="s">
        <v>96</v>
      </c>
      <c r="B2502" s="12" t="s">
        <v>2509</v>
      </c>
      <c r="C2502" s="12">
        <v>2023</v>
      </c>
      <c r="D2502" s="12">
        <v>20</v>
      </c>
    </row>
    <row r="2503" spans="1:4" ht="43.2" x14ac:dyDescent="0.3">
      <c r="A2503" s="12" t="s">
        <v>96</v>
      </c>
      <c r="B2503" s="12" t="s">
        <v>2510</v>
      </c>
      <c r="C2503" s="12">
        <v>1381</v>
      </c>
      <c r="D2503" s="12">
        <v>14</v>
      </c>
    </row>
    <row r="2504" spans="1:4" ht="43.2" x14ac:dyDescent="0.3">
      <c r="A2504" s="12" t="s">
        <v>96</v>
      </c>
      <c r="B2504" s="12" t="s">
        <v>2511</v>
      </c>
      <c r="C2504" s="12">
        <v>819</v>
      </c>
      <c r="D2504" s="12">
        <v>8</v>
      </c>
    </row>
    <row r="2505" spans="1:4" ht="43.2" x14ac:dyDescent="0.3">
      <c r="A2505" s="12" t="s">
        <v>96</v>
      </c>
      <c r="B2505" s="12" t="s">
        <v>2512</v>
      </c>
      <c r="C2505" s="12">
        <v>985</v>
      </c>
      <c r="D2505" s="12">
        <v>10</v>
      </c>
    </row>
    <row r="2506" spans="1:4" ht="43.2" x14ac:dyDescent="0.3">
      <c r="A2506" s="12" t="s">
        <v>96</v>
      </c>
      <c r="B2506" s="12" t="s">
        <v>2513</v>
      </c>
      <c r="C2506" s="12">
        <v>3031</v>
      </c>
      <c r="D2506" s="12">
        <v>30</v>
      </c>
    </row>
    <row r="2507" spans="1:4" ht="43.2" x14ac:dyDescent="0.3">
      <c r="A2507" s="12" t="s">
        <v>96</v>
      </c>
      <c r="B2507" s="12" t="s">
        <v>2514</v>
      </c>
      <c r="C2507" s="12">
        <v>770</v>
      </c>
      <c r="D2507" s="12">
        <v>8</v>
      </c>
    </row>
    <row r="2508" spans="1:4" ht="43.2" x14ac:dyDescent="0.3">
      <c r="A2508" s="12" t="s">
        <v>96</v>
      </c>
      <c r="B2508" s="12" t="s">
        <v>2515</v>
      </c>
      <c r="C2508" s="12">
        <v>1171</v>
      </c>
      <c r="D2508" s="12">
        <v>12</v>
      </c>
    </row>
    <row r="2509" spans="1:4" ht="43.2" x14ac:dyDescent="0.3">
      <c r="A2509" s="12" t="s">
        <v>96</v>
      </c>
      <c r="B2509" s="12" t="s">
        <v>2516</v>
      </c>
      <c r="C2509" s="12">
        <v>1122</v>
      </c>
      <c r="D2509" s="12">
        <v>11</v>
      </c>
    </row>
    <row r="2510" spans="1:4" ht="43.2" x14ac:dyDescent="0.3">
      <c r="A2510" s="12" t="s">
        <v>96</v>
      </c>
      <c r="B2510" s="12" t="s">
        <v>2517</v>
      </c>
      <c r="C2510" s="12">
        <v>785</v>
      </c>
      <c r="D2510" s="12">
        <v>8</v>
      </c>
    </row>
    <row r="2511" spans="1:4" ht="43.2" x14ac:dyDescent="0.3">
      <c r="A2511" s="12" t="s">
        <v>96</v>
      </c>
      <c r="B2511" s="12" t="s">
        <v>2518</v>
      </c>
      <c r="C2511" s="12">
        <v>1545</v>
      </c>
      <c r="D2511" s="12">
        <v>15</v>
      </c>
    </row>
    <row r="2512" spans="1:4" ht="43.2" x14ac:dyDescent="0.3">
      <c r="A2512" s="12" t="s">
        <v>96</v>
      </c>
      <c r="B2512" s="12" t="s">
        <v>2519</v>
      </c>
      <c r="C2512" s="12">
        <v>4797</v>
      </c>
      <c r="D2512" s="12">
        <v>48</v>
      </c>
    </row>
    <row r="2513" spans="1:4" ht="43.2" x14ac:dyDescent="0.3">
      <c r="A2513" s="12" t="s">
        <v>96</v>
      </c>
      <c r="B2513" s="12" t="s">
        <v>2520</v>
      </c>
      <c r="C2513" s="12">
        <v>1625</v>
      </c>
      <c r="D2513" s="12">
        <v>16</v>
      </c>
    </row>
    <row r="2514" spans="1:4" ht="43.2" x14ac:dyDescent="0.3">
      <c r="A2514" s="12" t="s">
        <v>96</v>
      </c>
      <c r="B2514" s="12" t="s">
        <v>2521</v>
      </c>
      <c r="C2514" s="12">
        <v>1531</v>
      </c>
      <c r="D2514" s="12">
        <v>15</v>
      </c>
    </row>
    <row r="2515" spans="1:4" ht="43.2" x14ac:dyDescent="0.3">
      <c r="A2515" s="12" t="s">
        <v>96</v>
      </c>
      <c r="B2515" s="12" t="s">
        <v>2522</v>
      </c>
      <c r="C2515" s="12">
        <v>422</v>
      </c>
      <c r="D2515" s="12">
        <v>4</v>
      </c>
    </row>
    <row r="2516" spans="1:4" ht="43.2" x14ac:dyDescent="0.3">
      <c r="A2516" s="12" t="s">
        <v>96</v>
      </c>
      <c r="B2516" s="12" t="s">
        <v>2523</v>
      </c>
      <c r="C2516" s="12">
        <v>3518</v>
      </c>
      <c r="D2516" s="12">
        <v>35</v>
      </c>
    </row>
    <row r="2517" spans="1:4" ht="43.2" x14ac:dyDescent="0.3">
      <c r="A2517" s="12" t="s">
        <v>96</v>
      </c>
      <c r="B2517" s="12" t="s">
        <v>2524</v>
      </c>
      <c r="C2517" s="12">
        <v>2950</v>
      </c>
      <c r="D2517" s="12">
        <v>30</v>
      </c>
    </row>
    <row r="2518" spans="1:4" ht="43.2" x14ac:dyDescent="0.3">
      <c r="A2518" s="12" t="s">
        <v>96</v>
      </c>
      <c r="B2518" s="12" t="s">
        <v>2525</v>
      </c>
      <c r="C2518" s="12">
        <v>2247</v>
      </c>
      <c r="D2518" s="12">
        <v>22</v>
      </c>
    </row>
    <row r="2519" spans="1:4" ht="43.2" x14ac:dyDescent="0.3">
      <c r="A2519" s="12" t="s">
        <v>96</v>
      </c>
      <c r="B2519" s="12" t="s">
        <v>2526</v>
      </c>
      <c r="C2519" s="12">
        <v>783</v>
      </c>
      <c r="D2519" s="12">
        <v>8</v>
      </c>
    </row>
    <row r="2520" spans="1:4" ht="43.2" x14ac:dyDescent="0.3">
      <c r="A2520" s="12" t="s">
        <v>96</v>
      </c>
      <c r="B2520" s="12" t="s">
        <v>2527</v>
      </c>
      <c r="C2520" s="12">
        <v>2406</v>
      </c>
      <c r="D2520" s="12">
        <v>24</v>
      </c>
    </row>
    <row r="2521" spans="1:4" ht="43.2" x14ac:dyDescent="0.3">
      <c r="A2521" s="12" t="s">
        <v>96</v>
      </c>
      <c r="B2521" s="12" t="s">
        <v>2528</v>
      </c>
      <c r="C2521" s="12">
        <v>4061</v>
      </c>
      <c r="D2521" s="12">
        <v>41</v>
      </c>
    </row>
    <row r="2522" spans="1:4" ht="43.2" x14ac:dyDescent="0.3">
      <c r="A2522" s="12" t="s">
        <v>96</v>
      </c>
      <c r="B2522" s="12" t="s">
        <v>2529</v>
      </c>
      <c r="C2522" s="12">
        <v>2442</v>
      </c>
      <c r="D2522" s="12">
        <v>24</v>
      </c>
    </row>
    <row r="2523" spans="1:4" ht="43.2" x14ac:dyDescent="0.3">
      <c r="A2523" s="12" t="s">
        <v>96</v>
      </c>
      <c r="B2523" s="12" t="s">
        <v>2530</v>
      </c>
      <c r="C2523" s="12">
        <v>626</v>
      </c>
      <c r="D2523" s="12">
        <v>6</v>
      </c>
    </row>
    <row r="2524" spans="1:4" ht="43.2" x14ac:dyDescent="0.3">
      <c r="A2524" s="12" t="s">
        <v>96</v>
      </c>
      <c r="B2524" s="12" t="s">
        <v>2531</v>
      </c>
      <c r="C2524" s="12">
        <v>2518</v>
      </c>
      <c r="D2524" s="12">
        <v>25</v>
      </c>
    </row>
    <row r="2525" spans="1:4" ht="43.2" x14ac:dyDescent="0.3">
      <c r="A2525" s="12" t="s">
        <v>96</v>
      </c>
      <c r="B2525" s="12" t="s">
        <v>2532</v>
      </c>
      <c r="C2525" s="12">
        <v>2838</v>
      </c>
      <c r="D2525" s="12">
        <v>28</v>
      </c>
    </row>
    <row r="2526" spans="1:4" ht="43.2" x14ac:dyDescent="0.3">
      <c r="A2526" s="12" t="s">
        <v>96</v>
      </c>
      <c r="B2526" s="12" t="s">
        <v>2533</v>
      </c>
      <c r="C2526" s="12">
        <v>1813</v>
      </c>
      <c r="D2526" s="12">
        <v>18</v>
      </c>
    </row>
    <row r="2527" spans="1:4" ht="43.2" x14ac:dyDescent="0.3">
      <c r="A2527" s="12" t="s">
        <v>96</v>
      </c>
      <c r="B2527" s="12" t="s">
        <v>2534</v>
      </c>
      <c r="C2527" s="12">
        <v>1123</v>
      </c>
      <c r="D2527" s="12">
        <v>11</v>
      </c>
    </row>
    <row r="2528" spans="1:4" ht="43.2" x14ac:dyDescent="0.3">
      <c r="A2528" s="12" t="s">
        <v>96</v>
      </c>
      <c r="B2528" s="12" t="s">
        <v>2535</v>
      </c>
      <c r="C2528" s="12">
        <v>1595</v>
      </c>
      <c r="D2528" s="12">
        <v>16</v>
      </c>
    </row>
    <row r="2529" spans="1:4" ht="43.2" x14ac:dyDescent="0.3">
      <c r="A2529" s="12" t="s">
        <v>96</v>
      </c>
      <c r="B2529" s="12" t="s">
        <v>2536</v>
      </c>
      <c r="C2529" s="12">
        <v>2258</v>
      </c>
      <c r="D2529" s="12">
        <v>23</v>
      </c>
    </row>
    <row r="2530" spans="1:4" ht="43.2" x14ac:dyDescent="0.3">
      <c r="A2530" s="12" t="s">
        <v>96</v>
      </c>
      <c r="B2530" s="12" t="s">
        <v>2537</v>
      </c>
      <c r="C2530" s="12">
        <v>2235</v>
      </c>
      <c r="D2530" s="12">
        <v>22</v>
      </c>
    </row>
    <row r="2531" spans="1:4" ht="43.2" x14ac:dyDescent="0.3">
      <c r="A2531" s="12" t="s">
        <v>96</v>
      </c>
      <c r="B2531" s="12" t="s">
        <v>2538</v>
      </c>
      <c r="C2531" s="12">
        <v>1154</v>
      </c>
      <c r="D2531" s="12">
        <v>12</v>
      </c>
    </row>
    <row r="2532" spans="1:4" ht="43.2" x14ac:dyDescent="0.3">
      <c r="A2532" s="12" t="s">
        <v>96</v>
      </c>
      <c r="B2532" s="12" t="s">
        <v>2539</v>
      </c>
      <c r="C2532" s="12">
        <v>1853</v>
      </c>
      <c r="D2532" s="12">
        <v>19</v>
      </c>
    </row>
    <row r="2533" spans="1:4" ht="43.2" x14ac:dyDescent="0.3">
      <c r="A2533" s="12" t="s">
        <v>96</v>
      </c>
      <c r="B2533" s="12" t="s">
        <v>2540</v>
      </c>
      <c r="C2533" s="12">
        <v>1120</v>
      </c>
      <c r="D2533" s="12">
        <v>11</v>
      </c>
    </row>
    <row r="2534" spans="1:4" ht="43.2" x14ac:dyDescent="0.3">
      <c r="A2534" s="12" t="s">
        <v>96</v>
      </c>
      <c r="B2534" s="12" t="s">
        <v>2541</v>
      </c>
      <c r="C2534" s="12">
        <v>3140</v>
      </c>
      <c r="D2534" s="12">
        <v>31</v>
      </c>
    </row>
    <row r="2535" spans="1:4" ht="43.2" x14ac:dyDescent="0.3">
      <c r="A2535" s="12" t="s">
        <v>96</v>
      </c>
      <c r="B2535" s="12" t="s">
        <v>2542</v>
      </c>
      <c r="C2535" s="12">
        <v>1025</v>
      </c>
      <c r="D2535" s="12">
        <v>10</v>
      </c>
    </row>
    <row r="2536" spans="1:4" ht="43.2" x14ac:dyDescent="0.3">
      <c r="A2536" s="12" t="s">
        <v>96</v>
      </c>
      <c r="B2536" s="12" t="s">
        <v>2543</v>
      </c>
      <c r="C2536" s="12">
        <v>1178</v>
      </c>
      <c r="D2536" s="12">
        <v>12</v>
      </c>
    </row>
    <row r="2537" spans="1:4" ht="43.2" x14ac:dyDescent="0.3">
      <c r="A2537" s="12" t="s">
        <v>96</v>
      </c>
      <c r="B2537" s="12" t="s">
        <v>2544</v>
      </c>
      <c r="C2537" s="12">
        <v>1511</v>
      </c>
      <c r="D2537" s="12">
        <v>15</v>
      </c>
    </row>
    <row r="2538" spans="1:4" ht="43.2" x14ac:dyDescent="0.3">
      <c r="A2538" s="12" t="s">
        <v>96</v>
      </c>
      <c r="B2538" s="12" t="s">
        <v>2545</v>
      </c>
      <c r="C2538" s="12">
        <v>3033</v>
      </c>
      <c r="D2538" s="12">
        <v>30</v>
      </c>
    </row>
    <row r="2539" spans="1:4" ht="43.2" x14ac:dyDescent="0.3">
      <c r="A2539" s="12" t="s">
        <v>96</v>
      </c>
      <c r="B2539" s="12" t="s">
        <v>2546</v>
      </c>
      <c r="C2539" s="12">
        <v>1142</v>
      </c>
      <c r="D2539" s="12">
        <v>11</v>
      </c>
    </row>
    <row r="2540" spans="1:4" ht="43.2" x14ac:dyDescent="0.3">
      <c r="A2540" s="12" t="s">
        <v>96</v>
      </c>
      <c r="B2540" s="12" t="s">
        <v>2547</v>
      </c>
      <c r="C2540" s="12">
        <v>2226</v>
      </c>
      <c r="D2540" s="12">
        <v>22</v>
      </c>
    </row>
    <row r="2541" spans="1:4" ht="43.2" x14ac:dyDescent="0.3">
      <c r="A2541" s="12" t="s">
        <v>96</v>
      </c>
      <c r="B2541" s="12" t="s">
        <v>2548</v>
      </c>
      <c r="C2541" s="12">
        <v>1050</v>
      </c>
      <c r="D2541" s="12">
        <v>10</v>
      </c>
    </row>
    <row r="2542" spans="1:4" ht="43.2" x14ac:dyDescent="0.3">
      <c r="A2542" s="12" t="s">
        <v>96</v>
      </c>
      <c r="B2542" s="12" t="s">
        <v>2549</v>
      </c>
      <c r="C2542" s="12">
        <v>1154</v>
      </c>
      <c r="D2542" s="12">
        <v>12</v>
      </c>
    </row>
    <row r="2543" spans="1:4" ht="43.2" x14ac:dyDescent="0.3">
      <c r="A2543" s="12" t="s">
        <v>96</v>
      </c>
      <c r="B2543" s="12" t="s">
        <v>2550</v>
      </c>
      <c r="C2543" s="12">
        <v>1014</v>
      </c>
      <c r="D2543" s="12">
        <v>10</v>
      </c>
    </row>
    <row r="2544" spans="1:4" ht="43.2" x14ac:dyDescent="0.3">
      <c r="A2544" s="12" t="s">
        <v>96</v>
      </c>
      <c r="B2544" s="12" t="s">
        <v>2551</v>
      </c>
      <c r="C2544" s="12">
        <v>1141</v>
      </c>
      <c r="D2544" s="12">
        <v>11</v>
      </c>
    </row>
    <row r="2545" spans="1:4" ht="43.2" x14ac:dyDescent="0.3">
      <c r="A2545" s="12" t="s">
        <v>96</v>
      </c>
      <c r="B2545" s="12" t="s">
        <v>2552</v>
      </c>
      <c r="C2545" s="12">
        <v>2560</v>
      </c>
      <c r="D2545" s="12">
        <v>26</v>
      </c>
    </row>
    <row r="2546" spans="1:4" ht="43.2" x14ac:dyDescent="0.3">
      <c r="A2546" s="12" t="s">
        <v>96</v>
      </c>
      <c r="B2546" s="12" t="s">
        <v>2553</v>
      </c>
      <c r="C2546" s="12">
        <v>1651</v>
      </c>
      <c r="D2546" s="12">
        <v>17</v>
      </c>
    </row>
    <row r="2547" spans="1:4" ht="43.2" x14ac:dyDescent="0.3">
      <c r="A2547" s="12" t="s">
        <v>96</v>
      </c>
      <c r="B2547" s="12" t="s">
        <v>2554</v>
      </c>
      <c r="C2547" s="12">
        <v>1623</v>
      </c>
      <c r="D2547" s="12">
        <v>16</v>
      </c>
    </row>
    <row r="2548" spans="1:4" ht="43.2" x14ac:dyDescent="0.3">
      <c r="A2548" s="12" t="s">
        <v>96</v>
      </c>
      <c r="B2548" s="12" t="s">
        <v>2555</v>
      </c>
      <c r="C2548" s="12">
        <v>1739</v>
      </c>
      <c r="D2548" s="12">
        <v>17</v>
      </c>
    </row>
    <row r="2549" spans="1:4" ht="43.2" x14ac:dyDescent="0.3">
      <c r="A2549" s="12" t="s">
        <v>96</v>
      </c>
      <c r="B2549" s="12" t="s">
        <v>2556</v>
      </c>
      <c r="C2549" s="12">
        <v>1718</v>
      </c>
      <c r="D2549" s="12">
        <v>17</v>
      </c>
    </row>
    <row r="2550" spans="1:4" ht="43.2" x14ac:dyDescent="0.3">
      <c r="A2550" s="12" t="s">
        <v>96</v>
      </c>
      <c r="B2550" s="12" t="s">
        <v>2557</v>
      </c>
      <c r="C2550" s="12">
        <v>2194</v>
      </c>
      <c r="D2550" s="12">
        <v>22</v>
      </c>
    </row>
    <row r="2551" spans="1:4" ht="43.2" x14ac:dyDescent="0.3">
      <c r="A2551" s="12" t="s">
        <v>96</v>
      </c>
      <c r="B2551" s="12" t="s">
        <v>2558</v>
      </c>
      <c r="C2551" s="12">
        <v>1601</v>
      </c>
      <c r="D2551" s="12">
        <v>16</v>
      </c>
    </row>
    <row r="2552" spans="1:4" ht="43.2" x14ac:dyDescent="0.3">
      <c r="A2552" s="12" t="s">
        <v>96</v>
      </c>
      <c r="B2552" s="12" t="s">
        <v>2559</v>
      </c>
      <c r="C2552" s="12">
        <v>1996</v>
      </c>
      <c r="D2552" s="12">
        <v>20</v>
      </c>
    </row>
    <row r="2553" spans="1:4" ht="43.2" x14ac:dyDescent="0.3">
      <c r="A2553" s="12" t="s">
        <v>96</v>
      </c>
      <c r="B2553" s="12" t="s">
        <v>2560</v>
      </c>
      <c r="C2553" s="12">
        <v>1332</v>
      </c>
      <c r="D2553" s="12">
        <v>13</v>
      </c>
    </row>
    <row r="2554" spans="1:4" ht="43.2" x14ac:dyDescent="0.3">
      <c r="A2554" s="12" t="s">
        <v>96</v>
      </c>
      <c r="B2554" s="12" t="s">
        <v>2561</v>
      </c>
      <c r="C2554" s="12">
        <v>1592</v>
      </c>
      <c r="D2554" s="12">
        <v>16</v>
      </c>
    </row>
    <row r="2555" spans="1:4" ht="43.2" x14ac:dyDescent="0.3">
      <c r="A2555" s="12" t="s">
        <v>96</v>
      </c>
      <c r="B2555" s="12" t="s">
        <v>2562</v>
      </c>
      <c r="C2555" s="12">
        <v>1562</v>
      </c>
      <c r="D2555" s="12">
        <v>16</v>
      </c>
    </row>
    <row r="2556" spans="1:4" ht="43.2" x14ac:dyDescent="0.3">
      <c r="A2556" s="12" t="s">
        <v>96</v>
      </c>
      <c r="B2556" s="12" t="s">
        <v>2563</v>
      </c>
      <c r="C2556" s="12">
        <v>1113</v>
      </c>
      <c r="D2556" s="12">
        <v>11</v>
      </c>
    </row>
    <row r="2557" spans="1:4" ht="43.2" x14ac:dyDescent="0.3">
      <c r="A2557" s="12" t="s">
        <v>96</v>
      </c>
      <c r="B2557" s="12" t="s">
        <v>2564</v>
      </c>
      <c r="C2557" s="12">
        <v>2871</v>
      </c>
      <c r="D2557" s="12">
        <v>29</v>
      </c>
    </row>
    <row r="2558" spans="1:4" ht="43.2" x14ac:dyDescent="0.3">
      <c r="A2558" s="12" t="s">
        <v>96</v>
      </c>
      <c r="B2558" s="12" t="s">
        <v>2565</v>
      </c>
      <c r="C2558" s="12">
        <v>1904</v>
      </c>
      <c r="D2558" s="12">
        <v>19</v>
      </c>
    </row>
    <row r="2559" spans="1:4" ht="43.2" x14ac:dyDescent="0.3">
      <c r="A2559" s="12" t="s">
        <v>96</v>
      </c>
      <c r="B2559" s="12" t="s">
        <v>2566</v>
      </c>
      <c r="C2559" s="12">
        <v>1610</v>
      </c>
      <c r="D2559" s="12">
        <v>16</v>
      </c>
    </row>
    <row r="2560" spans="1:4" ht="43.2" x14ac:dyDescent="0.3">
      <c r="A2560" s="12" t="s">
        <v>96</v>
      </c>
      <c r="B2560" s="12" t="s">
        <v>2567</v>
      </c>
      <c r="C2560" s="12">
        <v>1709</v>
      </c>
      <c r="D2560" s="12">
        <v>17</v>
      </c>
    </row>
    <row r="2561" spans="1:4" ht="43.2" x14ac:dyDescent="0.3">
      <c r="A2561" s="12" t="s">
        <v>97</v>
      </c>
      <c r="B2561" s="12" t="s">
        <v>2568</v>
      </c>
      <c r="C2561" s="12">
        <v>746</v>
      </c>
      <c r="D2561" s="12">
        <v>7</v>
      </c>
    </row>
    <row r="2562" spans="1:4" ht="43.2" x14ac:dyDescent="0.3">
      <c r="A2562" s="12" t="s">
        <v>97</v>
      </c>
      <c r="B2562" s="12" t="s">
        <v>2569</v>
      </c>
      <c r="C2562" s="12">
        <v>771</v>
      </c>
      <c r="D2562" s="12">
        <v>8</v>
      </c>
    </row>
    <row r="2563" spans="1:4" x14ac:dyDescent="0.3">
      <c r="A2563" s="12" t="s">
        <v>97</v>
      </c>
      <c r="B2563" s="12" t="s">
        <v>2570</v>
      </c>
      <c r="C2563" s="12">
        <v>192</v>
      </c>
      <c r="D2563" s="12">
        <v>2</v>
      </c>
    </row>
    <row r="2564" spans="1:4" ht="43.2" x14ac:dyDescent="0.3">
      <c r="A2564" s="12" t="s">
        <v>97</v>
      </c>
      <c r="B2564" s="12" t="s">
        <v>2571</v>
      </c>
      <c r="C2564" s="12">
        <v>444</v>
      </c>
      <c r="D2564" s="12">
        <v>4</v>
      </c>
    </row>
    <row r="2565" spans="1:4" ht="28.8" x14ac:dyDescent="0.3">
      <c r="A2565" s="12" t="s">
        <v>97</v>
      </c>
      <c r="B2565" s="12" t="s">
        <v>2572</v>
      </c>
      <c r="C2565" s="12">
        <v>229</v>
      </c>
      <c r="D2565" s="12">
        <v>2</v>
      </c>
    </row>
    <row r="2566" spans="1:4" ht="28.8" x14ac:dyDescent="0.3">
      <c r="A2566" s="12" t="s">
        <v>97</v>
      </c>
      <c r="B2566" s="12" t="s">
        <v>2573</v>
      </c>
      <c r="C2566" s="12">
        <v>245</v>
      </c>
      <c r="D2566" s="12">
        <v>2</v>
      </c>
    </row>
    <row r="2567" spans="1:4" ht="43.2" x14ac:dyDescent="0.3">
      <c r="A2567" s="12" t="s">
        <v>97</v>
      </c>
      <c r="B2567" s="12" t="s">
        <v>2574</v>
      </c>
      <c r="C2567" s="12">
        <v>662</v>
      </c>
      <c r="D2567" s="12">
        <v>7</v>
      </c>
    </row>
    <row r="2568" spans="1:4" x14ac:dyDescent="0.3">
      <c r="A2568" s="12" t="s">
        <v>97</v>
      </c>
      <c r="B2568" s="12" t="s">
        <v>1437</v>
      </c>
      <c r="C2568" s="12">
        <v>334</v>
      </c>
      <c r="D2568" s="12">
        <v>3</v>
      </c>
    </row>
    <row r="2569" spans="1:4" ht="43.2" x14ac:dyDescent="0.3">
      <c r="A2569" s="12" t="s">
        <v>97</v>
      </c>
      <c r="B2569" s="12" t="s">
        <v>2575</v>
      </c>
      <c r="C2569" s="12">
        <v>184</v>
      </c>
      <c r="D2569" s="12">
        <v>2</v>
      </c>
    </row>
    <row r="2570" spans="1:4" ht="28.8" x14ac:dyDescent="0.3">
      <c r="A2570" s="12" t="s">
        <v>97</v>
      </c>
      <c r="B2570" s="12" t="s">
        <v>1023</v>
      </c>
      <c r="C2570" s="12">
        <v>595</v>
      </c>
      <c r="D2570" s="12">
        <v>6</v>
      </c>
    </row>
    <row r="2571" spans="1:4" ht="28.8" x14ac:dyDescent="0.3">
      <c r="A2571" s="12" t="s">
        <v>97</v>
      </c>
      <c r="B2571" s="12" t="s">
        <v>2576</v>
      </c>
      <c r="C2571" s="12">
        <v>414</v>
      </c>
      <c r="D2571" s="12">
        <v>4</v>
      </c>
    </row>
    <row r="2572" spans="1:4" ht="43.2" x14ac:dyDescent="0.3">
      <c r="A2572" s="12" t="s">
        <v>97</v>
      </c>
      <c r="B2572" s="12" t="s">
        <v>2577</v>
      </c>
      <c r="C2572" s="12">
        <v>263</v>
      </c>
      <c r="D2572" s="12">
        <v>3</v>
      </c>
    </row>
    <row r="2573" spans="1:4" ht="28.8" x14ac:dyDescent="0.3">
      <c r="A2573" s="12" t="s">
        <v>97</v>
      </c>
      <c r="B2573" s="12" t="s">
        <v>2578</v>
      </c>
      <c r="C2573" s="12">
        <v>380</v>
      </c>
      <c r="D2573" s="12">
        <v>4</v>
      </c>
    </row>
    <row r="2574" spans="1:4" ht="43.2" x14ac:dyDescent="0.3">
      <c r="A2574" s="12" t="s">
        <v>97</v>
      </c>
      <c r="B2574" s="12" t="s">
        <v>2579</v>
      </c>
      <c r="C2574" s="12">
        <v>1015</v>
      </c>
      <c r="D2574" s="12">
        <v>10</v>
      </c>
    </row>
    <row r="2575" spans="1:4" ht="28.8" x14ac:dyDescent="0.3">
      <c r="A2575" s="12" t="s">
        <v>98</v>
      </c>
      <c r="B2575" s="12" t="s">
        <v>2580</v>
      </c>
      <c r="C2575" s="12">
        <v>830</v>
      </c>
      <c r="D2575" s="12">
        <v>8</v>
      </c>
    </row>
    <row r="2576" spans="1:4" ht="43.2" x14ac:dyDescent="0.3">
      <c r="A2576" s="12" t="s">
        <v>98</v>
      </c>
      <c r="B2576" s="12" t="s">
        <v>2581</v>
      </c>
      <c r="C2576" s="12">
        <v>635</v>
      </c>
      <c r="D2576" s="12">
        <v>6</v>
      </c>
    </row>
    <row r="2577" spans="1:4" ht="43.2" x14ac:dyDescent="0.3">
      <c r="A2577" s="12" t="s">
        <v>98</v>
      </c>
      <c r="B2577" s="12" t="s">
        <v>2582</v>
      </c>
      <c r="C2577" s="12">
        <v>522</v>
      </c>
      <c r="D2577" s="12">
        <v>5</v>
      </c>
    </row>
    <row r="2578" spans="1:4" ht="43.2" x14ac:dyDescent="0.3">
      <c r="A2578" s="12" t="s">
        <v>98</v>
      </c>
      <c r="B2578" s="12" t="s">
        <v>2583</v>
      </c>
      <c r="C2578" s="12">
        <v>836</v>
      </c>
      <c r="D2578" s="12">
        <v>8</v>
      </c>
    </row>
    <row r="2579" spans="1:4" ht="43.2" x14ac:dyDescent="0.3">
      <c r="A2579" s="12" t="s">
        <v>98</v>
      </c>
      <c r="B2579" s="12" t="s">
        <v>2312</v>
      </c>
      <c r="C2579" s="12">
        <v>288</v>
      </c>
      <c r="D2579" s="12">
        <v>3</v>
      </c>
    </row>
    <row r="2580" spans="1:4" ht="43.2" x14ac:dyDescent="0.3">
      <c r="A2580" s="12" t="s">
        <v>98</v>
      </c>
      <c r="B2580" s="12" t="s">
        <v>2584</v>
      </c>
      <c r="C2580" s="12">
        <v>274</v>
      </c>
      <c r="D2580" s="12">
        <v>3</v>
      </c>
    </row>
    <row r="2581" spans="1:4" ht="43.2" x14ac:dyDescent="0.3">
      <c r="A2581" s="12" t="s">
        <v>99</v>
      </c>
      <c r="B2581" s="12" t="s">
        <v>2585</v>
      </c>
      <c r="C2581" s="12">
        <v>175</v>
      </c>
      <c r="D2581" s="12">
        <v>2</v>
      </c>
    </row>
    <row r="2582" spans="1:4" ht="28.8" x14ac:dyDescent="0.3">
      <c r="A2582" s="12" t="s">
        <v>99</v>
      </c>
      <c r="B2582" s="12" t="s">
        <v>205</v>
      </c>
      <c r="C2582" s="12">
        <v>218</v>
      </c>
      <c r="D2582" s="12">
        <v>2</v>
      </c>
    </row>
    <row r="2583" spans="1:4" ht="43.2" x14ac:dyDescent="0.3">
      <c r="A2583" s="12" t="s">
        <v>99</v>
      </c>
      <c r="B2583" s="12" t="s">
        <v>187</v>
      </c>
      <c r="C2583" s="12">
        <v>134</v>
      </c>
      <c r="D2583" s="12">
        <v>1</v>
      </c>
    </row>
    <row r="2584" spans="1:4" ht="43.2" x14ac:dyDescent="0.3">
      <c r="A2584" s="12" t="s">
        <v>99</v>
      </c>
      <c r="B2584" s="12" t="s">
        <v>2586</v>
      </c>
      <c r="C2584" s="12">
        <v>945</v>
      </c>
      <c r="D2584" s="12">
        <v>9</v>
      </c>
    </row>
    <row r="2585" spans="1:4" ht="28.8" x14ac:dyDescent="0.3">
      <c r="A2585" s="12" t="s">
        <v>99</v>
      </c>
      <c r="B2585" s="12" t="s">
        <v>2587</v>
      </c>
      <c r="C2585" s="12">
        <v>1156</v>
      </c>
      <c r="D2585" s="12">
        <v>12</v>
      </c>
    </row>
    <row r="2586" spans="1:4" ht="28.8" x14ac:dyDescent="0.3">
      <c r="A2586" s="12" t="s">
        <v>99</v>
      </c>
      <c r="B2586" s="12" t="s">
        <v>2588</v>
      </c>
      <c r="C2586" s="12">
        <v>961</v>
      </c>
      <c r="D2586" s="12">
        <v>10</v>
      </c>
    </row>
    <row r="2587" spans="1:4" ht="28.8" x14ac:dyDescent="0.3">
      <c r="A2587" s="12" t="s">
        <v>99</v>
      </c>
      <c r="B2587" s="12" t="s">
        <v>2589</v>
      </c>
      <c r="C2587" s="12">
        <v>1496</v>
      </c>
      <c r="D2587" s="12">
        <v>15</v>
      </c>
    </row>
    <row r="2588" spans="1:4" ht="28.8" x14ac:dyDescent="0.3">
      <c r="A2588" s="12" t="s">
        <v>99</v>
      </c>
      <c r="B2588" s="12" t="s">
        <v>2590</v>
      </c>
      <c r="C2588" s="12">
        <v>1438</v>
      </c>
      <c r="D2588" s="12">
        <v>14</v>
      </c>
    </row>
    <row r="2589" spans="1:4" ht="43.2" x14ac:dyDescent="0.3">
      <c r="A2589" s="12" t="s">
        <v>99</v>
      </c>
      <c r="B2589" s="12" t="s">
        <v>2591</v>
      </c>
      <c r="C2589" s="12">
        <v>1559</v>
      </c>
      <c r="D2589" s="12">
        <v>16</v>
      </c>
    </row>
    <row r="2590" spans="1:4" ht="28.8" x14ac:dyDescent="0.3">
      <c r="A2590" s="12" t="s">
        <v>99</v>
      </c>
      <c r="B2590" s="12" t="s">
        <v>2592</v>
      </c>
      <c r="C2590" s="12">
        <v>627</v>
      </c>
      <c r="D2590" s="12">
        <v>6</v>
      </c>
    </row>
    <row r="2591" spans="1:4" x14ac:dyDescent="0.3">
      <c r="A2591" s="12" t="s">
        <v>99</v>
      </c>
      <c r="B2591" s="12" t="s">
        <v>171</v>
      </c>
      <c r="C2591" s="12">
        <v>167</v>
      </c>
      <c r="D2591" s="12">
        <v>2</v>
      </c>
    </row>
    <row r="2592" spans="1:4" ht="28.8" x14ac:dyDescent="0.3">
      <c r="A2592" s="12" t="s">
        <v>99</v>
      </c>
      <c r="B2592" s="12" t="s">
        <v>2593</v>
      </c>
      <c r="C2592" s="12">
        <v>297</v>
      </c>
      <c r="D2592" s="12">
        <v>3</v>
      </c>
    </row>
    <row r="2593" spans="1:4" ht="28.8" x14ac:dyDescent="0.3">
      <c r="A2593" s="12" t="s">
        <v>99</v>
      </c>
      <c r="B2593" s="12" t="s">
        <v>2594</v>
      </c>
      <c r="C2593" s="12">
        <v>680</v>
      </c>
      <c r="D2593" s="12">
        <v>7</v>
      </c>
    </row>
    <row r="2594" spans="1:4" ht="28.8" x14ac:dyDescent="0.3">
      <c r="A2594" s="12" t="s">
        <v>99</v>
      </c>
      <c r="B2594" s="12" t="s">
        <v>2595</v>
      </c>
      <c r="C2594" s="12">
        <v>1325</v>
      </c>
      <c r="D2594" s="12">
        <v>13</v>
      </c>
    </row>
    <row r="2595" spans="1:4" ht="28.8" x14ac:dyDescent="0.3">
      <c r="A2595" s="12" t="s">
        <v>99</v>
      </c>
      <c r="B2595" s="12" t="s">
        <v>2596</v>
      </c>
      <c r="C2595" s="12">
        <v>1223</v>
      </c>
      <c r="D2595" s="12">
        <v>12</v>
      </c>
    </row>
    <row r="2596" spans="1:4" ht="28.8" x14ac:dyDescent="0.3">
      <c r="A2596" s="12" t="s">
        <v>99</v>
      </c>
      <c r="B2596" s="12" t="s">
        <v>2597</v>
      </c>
      <c r="C2596" s="12">
        <v>1607</v>
      </c>
      <c r="D2596" s="12">
        <v>16</v>
      </c>
    </row>
    <row r="2597" spans="1:4" ht="28.8" x14ac:dyDescent="0.3">
      <c r="A2597" s="12" t="s">
        <v>99</v>
      </c>
      <c r="B2597" s="12" t="s">
        <v>178</v>
      </c>
      <c r="C2597" s="12">
        <v>25</v>
      </c>
      <c r="D2597" s="12">
        <v>1</v>
      </c>
    </row>
    <row r="2598" spans="1:4" ht="43.2" x14ac:dyDescent="0.3">
      <c r="A2598" s="12" t="s">
        <v>99</v>
      </c>
      <c r="B2598" s="12" t="s">
        <v>2598</v>
      </c>
      <c r="C2598" s="12">
        <v>165</v>
      </c>
      <c r="D2598" s="12">
        <v>2</v>
      </c>
    </row>
    <row r="2599" spans="1:4" ht="28.8" x14ac:dyDescent="0.3">
      <c r="A2599" s="12" t="s">
        <v>99</v>
      </c>
      <c r="B2599" s="12" t="s">
        <v>2599</v>
      </c>
      <c r="C2599" s="12">
        <v>409</v>
      </c>
      <c r="D2599" s="12">
        <v>4</v>
      </c>
    </row>
    <row r="2600" spans="1:4" ht="43.2" x14ac:dyDescent="0.3">
      <c r="A2600" s="12" t="s">
        <v>99</v>
      </c>
      <c r="B2600" s="12" t="s">
        <v>2600</v>
      </c>
      <c r="C2600" s="12">
        <v>1041</v>
      </c>
      <c r="D2600" s="12">
        <v>10</v>
      </c>
    </row>
    <row r="2601" spans="1:4" x14ac:dyDescent="0.3">
      <c r="A2601" s="12" t="s">
        <v>100</v>
      </c>
      <c r="B2601" s="12" t="s">
        <v>833</v>
      </c>
      <c r="C2601" s="12">
        <v>509</v>
      </c>
      <c r="D2601" s="12">
        <v>5</v>
      </c>
    </row>
    <row r="2602" spans="1:4" x14ac:dyDescent="0.3">
      <c r="A2602" s="12" t="s">
        <v>100</v>
      </c>
      <c r="B2602" s="12" t="s">
        <v>834</v>
      </c>
      <c r="C2602" s="12">
        <v>657</v>
      </c>
      <c r="D2602" s="12">
        <v>7</v>
      </c>
    </row>
    <row r="2603" spans="1:4" x14ac:dyDescent="0.3">
      <c r="A2603" s="12" t="s">
        <v>100</v>
      </c>
      <c r="B2603" s="12" t="s">
        <v>835</v>
      </c>
      <c r="C2603" s="12">
        <v>456</v>
      </c>
      <c r="D2603" s="12">
        <v>5</v>
      </c>
    </row>
    <row r="2604" spans="1:4" x14ac:dyDescent="0.3">
      <c r="A2604" s="12" t="s">
        <v>100</v>
      </c>
      <c r="B2604" s="12" t="s">
        <v>836</v>
      </c>
      <c r="C2604" s="12">
        <v>720</v>
      </c>
      <c r="D2604" s="12">
        <v>7</v>
      </c>
    </row>
    <row r="2605" spans="1:4" x14ac:dyDescent="0.3">
      <c r="A2605" s="12" t="s">
        <v>100</v>
      </c>
      <c r="B2605" s="12" t="s">
        <v>837</v>
      </c>
      <c r="C2605" s="12">
        <v>696</v>
      </c>
      <c r="D2605" s="12">
        <v>7</v>
      </c>
    </row>
    <row r="2606" spans="1:4" x14ac:dyDescent="0.3">
      <c r="A2606" s="12" t="s">
        <v>100</v>
      </c>
      <c r="B2606" s="12" t="s">
        <v>838</v>
      </c>
      <c r="C2606" s="12">
        <v>835</v>
      </c>
      <c r="D2606" s="12">
        <v>8</v>
      </c>
    </row>
    <row r="2607" spans="1:4" x14ac:dyDescent="0.3">
      <c r="A2607" s="12" t="s">
        <v>100</v>
      </c>
      <c r="B2607" s="12" t="s">
        <v>839</v>
      </c>
      <c r="C2607" s="12">
        <v>1056</v>
      </c>
      <c r="D2607" s="12">
        <v>11</v>
      </c>
    </row>
    <row r="2608" spans="1:4" x14ac:dyDescent="0.3">
      <c r="A2608" s="12" t="s">
        <v>100</v>
      </c>
      <c r="B2608" s="12" t="s">
        <v>840</v>
      </c>
      <c r="C2608" s="12">
        <v>455</v>
      </c>
      <c r="D2608" s="12">
        <v>5</v>
      </c>
    </row>
    <row r="2609" spans="1:4" x14ac:dyDescent="0.3">
      <c r="A2609" s="12" t="s">
        <v>100</v>
      </c>
      <c r="B2609" s="12" t="s">
        <v>841</v>
      </c>
      <c r="C2609" s="12">
        <v>512</v>
      </c>
      <c r="D2609" s="12">
        <v>5</v>
      </c>
    </row>
    <row r="2610" spans="1:4" x14ac:dyDescent="0.3">
      <c r="A2610" s="12" t="s">
        <v>100</v>
      </c>
      <c r="B2610" s="12" t="s">
        <v>842</v>
      </c>
      <c r="C2610" s="12">
        <v>859</v>
      </c>
      <c r="D2610" s="12">
        <v>9</v>
      </c>
    </row>
    <row r="2611" spans="1:4" x14ac:dyDescent="0.3">
      <c r="A2611" s="12" t="s">
        <v>100</v>
      </c>
      <c r="B2611" s="12" t="s">
        <v>2601</v>
      </c>
      <c r="C2611" s="12">
        <v>916</v>
      </c>
      <c r="D2611" s="12">
        <v>9</v>
      </c>
    </row>
    <row r="2612" spans="1:4" x14ac:dyDescent="0.3">
      <c r="A2612" s="12" t="s">
        <v>100</v>
      </c>
      <c r="B2612" s="12" t="s">
        <v>843</v>
      </c>
      <c r="C2612" s="12">
        <v>1172</v>
      </c>
      <c r="D2612" s="12">
        <v>12</v>
      </c>
    </row>
    <row r="2613" spans="1:4" x14ac:dyDescent="0.3">
      <c r="A2613" s="12" t="s">
        <v>100</v>
      </c>
      <c r="B2613" s="12" t="s">
        <v>844</v>
      </c>
      <c r="C2613" s="12">
        <v>891</v>
      </c>
      <c r="D2613" s="12">
        <v>9</v>
      </c>
    </row>
    <row r="2614" spans="1:4" x14ac:dyDescent="0.3">
      <c r="A2614" s="12" t="s">
        <v>100</v>
      </c>
      <c r="B2614" s="12" t="s">
        <v>845</v>
      </c>
      <c r="C2614" s="12">
        <v>631</v>
      </c>
      <c r="D2614" s="12">
        <v>6</v>
      </c>
    </row>
    <row r="2615" spans="1:4" x14ac:dyDescent="0.3">
      <c r="A2615" s="12" t="s">
        <v>100</v>
      </c>
      <c r="B2615" s="12" t="s">
        <v>846</v>
      </c>
      <c r="C2615" s="12">
        <v>625</v>
      </c>
      <c r="D2615" s="12">
        <v>6</v>
      </c>
    </row>
    <row r="2616" spans="1:4" x14ac:dyDescent="0.3">
      <c r="A2616" s="12" t="s">
        <v>100</v>
      </c>
      <c r="B2616" s="12" t="s">
        <v>847</v>
      </c>
      <c r="C2616" s="12">
        <v>639</v>
      </c>
      <c r="D2616" s="12">
        <v>6</v>
      </c>
    </row>
    <row r="2617" spans="1:4" x14ac:dyDescent="0.3">
      <c r="A2617" s="12" t="s">
        <v>100</v>
      </c>
      <c r="B2617" s="12" t="s">
        <v>848</v>
      </c>
      <c r="C2617" s="12">
        <v>688</v>
      </c>
      <c r="D2617" s="12">
        <v>7</v>
      </c>
    </row>
    <row r="2618" spans="1:4" x14ac:dyDescent="0.3">
      <c r="A2618" s="12" t="s">
        <v>100</v>
      </c>
      <c r="B2618" s="12" t="s">
        <v>849</v>
      </c>
      <c r="C2618" s="12">
        <v>714</v>
      </c>
      <c r="D2618" s="12">
        <v>7</v>
      </c>
    </row>
    <row r="2619" spans="1:4" x14ac:dyDescent="0.3">
      <c r="A2619" s="12" t="s">
        <v>100</v>
      </c>
      <c r="B2619" s="12" t="s">
        <v>850</v>
      </c>
      <c r="C2619" s="12">
        <v>847</v>
      </c>
      <c r="D2619" s="12">
        <v>8</v>
      </c>
    </row>
    <row r="2620" spans="1:4" x14ac:dyDescent="0.3">
      <c r="A2620" s="12" t="s">
        <v>100</v>
      </c>
      <c r="B2620" s="12" t="s">
        <v>851</v>
      </c>
      <c r="C2620" s="12">
        <v>955</v>
      </c>
      <c r="D2620" s="12">
        <v>10</v>
      </c>
    </row>
    <row r="2621" spans="1:4" x14ac:dyDescent="0.3">
      <c r="A2621" s="12" t="s">
        <v>100</v>
      </c>
      <c r="B2621" s="12" t="s">
        <v>852</v>
      </c>
      <c r="C2621" s="12">
        <v>853</v>
      </c>
      <c r="D2621" s="12">
        <v>9</v>
      </c>
    </row>
    <row r="2622" spans="1:4" x14ac:dyDescent="0.3">
      <c r="A2622" s="12" t="s">
        <v>100</v>
      </c>
      <c r="B2622" s="12" t="s">
        <v>853</v>
      </c>
      <c r="C2622" s="12">
        <v>659</v>
      </c>
      <c r="D2622" s="12">
        <v>7</v>
      </c>
    </row>
    <row r="2623" spans="1:4" x14ac:dyDescent="0.3">
      <c r="A2623" s="12" t="s">
        <v>100</v>
      </c>
      <c r="B2623" s="12" t="s">
        <v>854</v>
      </c>
      <c r="C2623" s="12">
        <v>538</v>
      </c>
      <c r="D2623" s="12">
        <v>5</v>
      </c>
    </row>
    <row r="2624" spans="1:4" x14ac:dyDescent="0.3">
      <c r="A2624" s="12" t="s">
        <v>100</v>
      </c>
      <c r="B2624" s="12" t="s">
        <v>855</v>
      </c>
      <c r="C2624" s="12">
        <v>284.000001</v>
      </c>
      <c r="D2624" s="12">
        <v>3</v>
      </c>
    </row>
    <row r="2625" spans="1:4" x14ac:dyDescent="0.3">
      <c r="A2625" s="12" t="s">
        <v>100</v>
      </c>
      <c r="B2625" s="12" t="s">
        <v>856</v>
      </c>
      <c r="C2625" s="12">
        <v>513</v>
      </c>
      <c r="D2625" s="12">
        <v>5</v>
      </c>
    </row>
    <row r="2626" spans="1:4" x14ac:dyDescent="0.3">
      <c r="A2626" s="12" t="s">
        <v>100</v>
      </c>
      <c r="B2626" s="12" t="s">
        <v>857</v>
      </c>
      <c r="C2626" s="12">
        <v>867</v>
      </c>
      <c r="D2626" s="12">
        <v>9</v>
      </c>
    </row>
    <row r="2627" spans="1:4" x14ac:dyDescent="0.3">
      <c r="A2627" s="12" t="s">
        <v>100</v>
      </c>
      <c r="B2627" s="12" t="s">
        <v>858</v>
      </c>
      <c r="C2627" s="12">
        <v>841</v>
      </c>
      <c r="D2627" s="12">
        <v>8</v>
      </c>
    </row>
    <row r="2628" spans="1:4" x14ac:dyDescent="0.3">
      <c r="A2628" s="12" t="s">
        <v>100</v>
      </c>
      <c r="B2628" s="12" t="s">
        <v>859</v>
      </c>
      <c r="C2628" s="12">
        <v>840</v>
      </c>
      <c r="D2628" s="12">
        <v>8</v>
      </c>
    </row>
    <row r="2629" spans="1:4" x14ac:dyDescent="0.3">
      <c r="A2629" s="12" t="s">
        <v>100</v>
      </c>
      <c r="B2629" s="12" t="s">
        <v>860</v>
      </c>
      <c r="C2629" s="12">
        <v>825</v>
      </c>
      <c r="D2629" s="12">
        <v>8</v>
      </c>
    </row>
    <row r="2630" spans="1:4" x14ac:dyDescent="0.3">
      <c r="A2630" s="12" t="s">
        <v>100</v>
      </c>
      <c r="B2630" s="12" t="s">
        <v>2602</v>
      </c>
      <c r="C2630" s="12">
        <v>806</v>
      </c>
      <c r="D2630" s="12">
        <v>8</v>
      </c>
    </row>
    <row r="2631" spans="1:4" ht="28.8" x14ac:dyDescent="0.3">
      <c r="A2631" s="12" t="s">
        <v>101</v>
      </c>
      <c r="B2631" s="12" t="s">
        <v>1082</v>
      </c>
      <c r="C2631" s="12">
        <v>113</v>
      </c>
      <c r="D2631" s="12">
        <v>1</v>
      </c>
    </row>
    <row r="2632" spans="1:4" ht="28.8" x14ac:dyDescent="0.3">
      <c r="A2632" s="12" t="s">
        <v>101</v>
      </c>
      <c r="B2632" s="12" t="s">
        <v>2603</v>
      </c>
      <c r="C2632" s="12">
        <v>339</v>
      </c>
      <c r="D2632" s="12">
        <v>3</v>
      </c>
    </row>
    <row r="2633" spans="1:4" ht="57.6" x14ac:dyDescent="0.3">
      <c r="A2633" s="12" t="s">
        <v>101</v>
      </c>
      <c r="B2633" s="12" t="s">
        <v>2604</v>
      </c>
      <c r="C2633" s="12">
        <v>76</v>
      </c>
      <c r="D2633" s="12">
        <v>1</v>
      </c>
    </row>
    <row r="2634" spans="1:4" ht="28.8" x14ac:dyDescent="0.3">
      <c r="A2634" s="12" t="s">
        <v>101</v>
      </c>
      <c r="B2634" s="12" t="s">
        <v>2605</v>
      </c>
      <c r="C2634" s="12">
        <v>287</v>
      </c>
      <c r="D2634" s="12">
        <v>3</v>
      </c>
    </row>
    <row r="2635" spans="1:4" ht="43.2" x14ac:dyDescent="0.3">
      <c r="A2635" s="12" t="s">
        <v>101</v>
      </c>
      <c r="B2635" s="12" t="s">
        <v>2606</v>
      </c>
      <c r="C2635" s="12">
        <v>168</v>
      </c>
      <c r="D2635" s="12">
        <v>2</v>
      </c>
    </row>
    <row r="2636" spans="1:4" ht="43.2" x14ac:dyDescent="0.3">
      <c r="A2636" s="12" t="s">
        <v>101</v>
      </c>
      <c r="B2636" s="12" t="s">
        <v>2607</v>
      </c>
      <c r="C2636" s="12">
        <v>164</v>
      </c>
      <c r="D2636" s="12">
        <v>2</v>
      </c>
    </row>
    <row r="2637" spans="1:4" ht="43.2" x14ac:dyDescent="0.3">
      <c r="A2637" s="12" t="s">
        <v>101</v>
      </c>
      <c r="B2637" s="12" t="s">
        <v>2608</v>
      </c>
      <c r="C2637" s="12">
        <v>401</v>
      </c>
      <c r="D2637" s="12">
        <v>4</v>
      </c>
    </row>
    <row r="2638" spans="1:4" ht="43.2" x14ac:dyDescent="0.3">
      <c r="A2638" s="12" t="s">
        <v>101</v>
      </c>
      <c r="B2638" s="12" t="s">
        <v>2609</v>
      </c>
      <c r="C2638" s="12">
        <v>375</v>
      </c>
      <c r="D2638" s="12">
        <v>4</v>
      </c>
    </row>
    <row r="2639" spans="1:4" ht="43.2" x14ac:dyDescent="0.3">
      <c r="A2639" s="12" t="s">
        <v>101</v>
      </c>
      <c r="B2639" s="12" t="s">
        <v>2610</v>
      </c>
      <c r="C2639" s="12">
        <v>149</v>
      </c>
      <c r="D2639" s="12">
        <v>1</v>
      </c>
    </row>
    <row r="2640" spans="1:4" ht="28.8" x14ac:dyDescent="0.3">
      <c r="A2640" s="12" t="s">
        <v>101</v>
      </c>
      <c r="B2640" s="12" t="s">
        <v>2611</v>
      </c>
      <c r="C2640" s="12">
        <v>83</v>
      </c>
      <c r="D2640" s="12">
        <v>1</v>
      </c>
    </row>
    <row r="2641" spans="1:4" ht="43.2" x14ac:dyDescent="0.3">
      <c r="A2641" s="12" t="s">
        <v>101</v>
      </c>
      <c r="B2641" s="12" t="s">
        <v>2612</v>
      </c>
      <c r="C2641" s="12">
        <v>369</v>
      </c>
      <c r="D2641" s="12">
        <v>4</v>
      </c>
    </row>
    <row r="2642" spans="1:4" ht="43.2" x14ac:dyDescent="0.3">
      <c r="A2642" s="12" t="s">
        <v>101</v>
      </c>
      <c r="B2642" s="12" t="s">
        <v>2613</v>
      </c>
      <c r="C2642" s="12">
        <v>378</v>
      </c>
      <c r="D2642" s="12">
        <v>4</v>
      </c>
    </row>
    <row r="2643" spans="1:4" ht="57.6" x14ac:dyDescent="0.3">
      <c r="A2643" s="12" t="s">
        <v>101</v>
      </c>
      <c r="B2643" s="12" t="s">
        <v>2614</v>
      </c>
      <c r="C2643" s="12">
        <v>328</v>
      </c>
      <c r="D2643" s="12">
        <v>3</v>
      </c>
    </row>
    <row r="2644" spans="1:4" ht="43.2" x14ac:dyDescent="0.3">
      <c r="A2644" s="12" t="s">
        <v>101</v>
      </c>
      <c r="B2644" s="12" t="s">
        <v>2615</v>
      </c>
      <c r="C2644" s="12">
        <v>547</v>
      </c>
      <c r="D2644" s="12">
        <v>5</v>
      </c>
    </row>
    <row r="2645" spans="1:4" ht="43.2" x14ac:dyDescent="0.3">
      <c r="A2645" s="12" t="s">
        <v>101</v>
      </c>
      <c r="B2645" s="12" t="s">
        <v>2616</v>
      </c>
      <c r="C2645" s="12">
        <v>104</v>
      </c>
      <c r="D2645" s="12">
        <v>1</v>
      </c>
    </row>
    <row r="2646" spans="1:4" ht="28.8" x14ac:dyDescent="0.3">
      <c r="A2646" s="12" t="s">
        <v>101</v>
      </c>
      <c r="B2646" s="12" t="s">
        <v>2617</v>
      </c>
      <c r="C2646" s="12">
        <v>191</v>
      </c>
      <c r="D2646" s="12">
        <v>2</v>
      </c>
    </row>
    <row r="2647" spans="1:4" ht="43.2" x14ac:dyDescent="0.3">
      <c r="A2647" s="12" t="s">
        <v>101</v>
      </c>
      <c r="B2647" s="12" t="s">
        <v>2618</v>
      </c>
      <c r="C2647" s="12">
        <v>663</v>
      </c>
      <c r="D2647" s="12">
        <v>7</v>
      </c>
    </row>
    <row r="2648" spans="1:4" ht="43.2" x14ac:dyDescent="0.3">
      <c r="A2648" s="12" t="s">
        <v>101</v>
      </c>
      <c r="B2648" s="12" t="s">
        <v>2619</v>
      </c>
      <c r="C2648" s="12">
        <v>710</v>
      </c>
      <c r="D2648" s="12">
        <v>7</v>
      </c>
    </row>
    <row r="2649" spans="1:4" ht="28.8" x14ac:dyDescent="0.3">
      <c r="A2649" s="12" t="s">
        <v>101</v>
      </c>
      <c r="B2649" s="12" t="s">
        <v>2620</v>
      </c>
      <c r="C2649" s="12">
        <v>269</v>
      </c>
      <c r="D2649" s="12">
        <v>3</v>
      </c>
    </row>
    <row r="2650" spans="1:4" ht="28.8" x14ac:dyDescent="0.3">
      <c r="A2650" s="12" t="s">
        <v>101</v>
      </c>
      <c r="B2650" s="12" t="s">
        <v>2621</v>
      </c>
      <c r="C2650" s="12">
        <v>298</v>
      </c>
      <c r="D2650" s="12">
        <v>3</v>
      </c>
    </row>
    <row r="2651" spans="1:4" ht="28.8" x14ac:dyDescent="0.3">
      <c r="A2651" s="12" t="s">
        <v>101</v>
      </c>
      <c r="B2651" s="12" t="s">
        <v>2622</v>
      </c>
      <c r="C2651" s="12">
        <v>70</v>
      </c>
      <c r="D2651" s="12">
        <v>1</v>
      </c>
    </row>
    <row r="2652" spans="1:4" ht="43.2" x14ac:dyDescent="0.3">
      <c r="A2652" s="12" t="s">
        <v>101</v>
      </c>
      <c r="B2652" s="12" t="s">
        <v>2623</v>
      </c>
      <c r="C2652" s="12">
        <v>111</v>
      </c>
      <c r="D2652" s="12">
        <v>1</v>
      </c>
    </row>
    <row r="2653" spans="1:4" ht="43.2" x14ac:dyDescent="0.3">
      <c r="A2653" s="12" t="s">
        <v>101</v>
      </c>
      <c r="B2653" s="12" t="s">
        <v>2624</v>
      </c>
      <c r="C2653" s="12">
        <v>182</v>
      </c>
      <c r="D2653" s="12">
        <v>2</v>
      </c>
    </row>
    <row r="2654" spans="1:4" x14ac:dyDescent="0.3">
      <c r="A2654" s="12" t="s">
        <v>101</v>
      </c>
      <c r="B2654" s="12" t="s">
        <v>1068</v>
      </c>
      <c r="C2654" s="12">
        <v>125</v>
      </c>
      <c r="D2654" s="12">
        <v>1</v>
      </c>
    </row>
    <row r="2655" spans="1:4" ht="43.2" x14ac:dyDescent="0.3">
      <c r="A2655" s="12" t="s">
        <v>101</v>
      </c>
      <c r="B2655" s="12" t="s">
        <v>2625</v>
      </c>
      <c r="C2655" s="12">
        <v>95</v>
      </c>
      <c r="D2655" s="12">
        <v>1</v>
      </c>
    </row>
    <row r="2656" spans="1:4" ht="43.2" x14ac:dyDescent="0.3">
      <c r="A2656" s="12" t="s">
        <v>101</v>
      </c>
      <c r="B2656" s="12" t="s">
        <v>2626</v>
      </c>
      <c r="C2656" s="12">
        <v>629</v>
      </c>
      <c r="D2656" s="12">
        <v>6</v>
      </c>
    </row>
    <row r="2657" spans="1:4" ht="43.2" x14ac:dyDescent="0.3">
      <c r="A2657" s="12" t="s">
        <v>101</v>
      </c>
      <c r="B2657" s="12" t="s">
        <v>2627</v>
      </c>
      <c r="C2657" s="12">
        <v>559</v>
      </c>
      <c r="D2657" s="12">
        <v>6</v>
      </c>
    </row>
    <row r="2658" spans="1:4" ht="43.2" x14ac:dyDescent="0.3">
      <c r="A2658" s="12" t="s">
        <v>101</v>
      </c>
      <c r="B2658" s="12" t="s">
        <v>2628</v>
      </c>
      <c r="C2658" s="12">
        <v>496</v>
      </c>
      <c r="D2658" s="12">
        <v>5</v>
      </c>
    </row>
    <row r="2659" spans="1:4" ht="28.8" x14ac:dyDescent="0.3">
      <c r="A2659" s="12" t="s">
        <v>102</v>
      </c>
      <c r="B2659" s="12" t="s">
        <v>2629</v>
      </c>
      <c r="C2659" s="12">
        <v>523</v>
      </c>
      <c r="D2659" s="12">
        <v>5</v>
      </c>
    </row>
    <row r="2660" spans="1:4" ht="43.2" x14ac:dyDescent="0.3">
      <c r="A2660" s="12" t="s">
        <v>102</v>
      </c>
      <c r="B2660" s="12" t="s">
        <v>2630</v>
      </c>
      <c r="C2660" s="12">
        <v>523</v>
      </c>
      <c r="D2660" s="12">
        <v>5</v>
      </c>
    </row>
    <row r="2661" spans="1:4" ht="43.2" x14ac:dyDescent="0.3">
      <c r="A2661" s="12" t="s">
        <v>102</v>
      </c>
      <c r="B2661" s="12" t="s">
        <v>2631</v>
      </c>
      <c r="C2661" s="12">
        <v>858</v>
      </c>
      <c r="D2661" s="12">
        <v>9</v>
      </c>
    </row>
    <row r="2662" spans="1:4" ht="43.2" x14ac:dyDescent="0.3">
      <c r="A2662" s="12" t="s">
        <v>102</v>
      </c>
      <c r="B2662" s="12" t="s">
        <v>2632</v>
      </c>
      <c r="C2662" s="12">
        <v>875</v>
      </c>
      <c r="D2662" s="12">
        <v>9</v>
      </c>
    </row>
    <row r="2663" spans="1:4" ht="43.2" x14ac:dyDescent="0.3">
      <c r="A2663" s="12" t="s">
        <v>102</v>
      </c>
      <c r="B2663" s="12" t="s">
        <v>2633</v>
      </c>
      <c r="C2663" s="12">
        <v>419</v>
      </c>
      <c r="D2663" s="12">
        <v>4</v>
      </c>
    </row>
    <row r="2664" spans="1:4" ht="28.8" x14ac:dyDescent="0.3">
      <c r="A2664" s="12" t="s">
        <v>102</v>
      </c>
      <c r="B2664" s="12" t="s">
        <v>2634</v>
      </c>
      <c r="C2664" s="12">
        <v>464</v>
      </c>
      <c r="D2664" s="12">
        <v>5</v>
      </c>
    </row>
    <row r="2665" spans="1:4" ht="43.2" x14ac:dyDescent="0.3">
      <c r="A2665" s="12" t="s">
        <v>102</v>
      </c>
      <c r="B2665" s="12" t="s">
        <v>2635</v>
      </c>
      <c r="C2665" s="12">
        <v>473</v>
      </c>
      <c r="D2665" s="12">
        <v>5</v>
      </c>
    </row>
    <row r="2666" spans="1:4" ht="28.8" x14ac:dyDescent="0.3">
      <c r="A2666" s="12" t="s">
        <v>102</v>
      </c>
      <c r="B2666" s="12" t="s">
        <v>2636</v>
      </c>
      <c r="C2666" s="12">
        <v>2050</v>
      </c>
      <c r="D2666" s="12">
        <v>20</v>
      </c>
    </row>
    <row r="2667" spans="1:4" ht="28.8" x14ac:dyDescent="0.3">
      <c r="A2667" s="12" t="s">
        <v>102</v>
      </c>
      <c r="B2667" s="12" t="s">
        <v>2637</v>
      </c>
      <c r="C2667" s="12">
        <v>1264</v>
      </c>
      <c r="D2667" s="12">
        <v>13</v>
      </c>
    </row>
    <row r="2668" spans="1:4" ht="43.2" x14ac:dyDescent="0.3">
      <c r="A2668" s="12" t="s">
        <v>102</v>
      </c>
      <c r="B2668" s="12" t="s">
        <v>2638</v>
      </c>
      <c r="C2668" s="12">
        <v>527</v>
      </c>
      <c r="D2668" s="12">
        <v>5</v>
      </c>
    </row>
    <row r="2669" spans="1:4" ht="43.2" x14ac:dyDescent="0.3">
      <c r="A2669" s="12" t="s">
        <v>102</v>
      </c>
      <c r="B2669" s="12" t="s">
        <v>2639</v>
      </c>
      <c r="C2669" s="12">
        <v>675</v>
      </c>
      <c r="D2669" s="12">
        <v>7</v>
      </c>
    </row>
    <row r="2670" spans="1:4" ht="43.2" x14ac:dyDescent="0.3">
      <c r="A2670" s="12" t="s">
        <v>102</v>
      </c>
      <c r="B2670" s="12" t="s">
        <v>2640</v>
      </c>
      <c r="C2670" s="12">
        <v>1058</v>
      </c>
      <c r="D2670" s="12">
        <v>11</v>
      </c>
    </row>
    <row r="2671" spans="1:4" ht="43.2" x14ac:dyDescent="0.3">
      <c r="A2671" s="12" t="s">
        <v>102</v>
      </c>
      <c r="B2671" s="12" t="s">
        <v>2641</v>
      </c>
      <c r="C2671" s="12">
        <v>553</v>
      </c>
      <c r="D2671" s="12">
        <v>6</v>
      </c>
    </row>
    <row r="2672" spans="1:4" ht="43.2" x14ac:dyDescent="0.3">
      <c r="A2672" s="12" t="s">
        <v>102</v>
      </c>
      <c r="B2672" s="12" t="s">
        <v>2642</v>
      </c>
      <c r="C2672" s="12">
        <v>706</v>
      </c>
      <c r="D2672" s="12">
        <v>7</v>
      </c>
    </row>
    <row r="2673" spans="1:4" ht="43.2" x14ac:dyDescent="0.3">
      <c r="A2673" s="12" t="s">
        <v>102</v>
      </c>
      <c r="B2673" s="12" t="s">
        <v>2643</v>
      </c>
      <c r="C2673" s="12">
        <v>563</v>
      </c>
      <c r="D2673" s="12">
        <v>6</v>
      </c>
    </row>
    <row r="2674" spans="1:4" ht="28.8" x14ac:dyDescent="0.3">
      <c r="A2674" s="12" t="s">
        <v>102</v>
      </c>
      <c r="B2674" s="12" t="s">
        <v>2644</v>
      </c>
      <c r="C2674" s="12">
        <v>896</v>
      </c>
      <c r="D2674" s="12">
        <v>9</v>
      </c>
    </row>
    <row r="2675" spans="1:4" ht="28.8" x14ac:dyDescent="0.3">
      <c r="A2675" s="12" t="s">
        <v>102</v>
      </c>
      <c r="B2675" s="12" t="s">
        <v>2645</v>
      </c>
      <c r="C2675" s="12">
        <v>1505</v>
      </c>
      <c r="D2675" s="12">
        <v>15</v>
      </c>
    </row>
    <row r="2676" spans="1:4" ht="43.2" x14ac:dyDescent="0.3">
      <c r="A2676" s="12" t="s">
        <v>102</v>
      </c>
      <c r="B2676" s="12" t="s">
        <v>2646</v>
      </c>
      <c r="C2676" s="12">
        <v>486</v>
      </c>
      <c r="D2676" s="12">
        <v>5</v>
      </c>
    </row>
    <row r="2677" spans="1:4" ht="43.2" x14ac:dyDescent="0.3">
      <c r="A2677" s="12" t="s">
        <v>102</v>
      </c>
      <c r="B2677" s="12" t="s">
        <v>2647</v>
      </c>
      <c r="C2677" s="12">
        <v>883</v>
      </c>
      <c r="D2677" s="12">
        <v>9</v>
      </c>
    </row>
    <row r="2678" spans="1:4" ht="43.2" x14ac:dyDescent="0.3">
      <c r="A2678" s="12" t="s">
        <v>102</v>
      </c>
      <c r="B2678" s="12" t="s">
        <v>2648</v>
      </c>
      <c r="C2678" s="12">
        <v>1677</v>
      </c>
      <c r="D2678" s="12">
        <v>17</v>
      </c>
    </row>
    <row r="2679" spans="1:4" ht="43.2" x14ac:dyDescent="0.3">
      <c r="A2679" s="12" t="s">
        <v>102</v>
      </c>
      <c r="B2679" s="12" t="s">
        <v>2649</v>
      </c>
      <c r="C2679" s="12">
        <v>1542</v>
      </c>
      <c r="D2679" s="12">
        <v>15</v>
      </c>
    </row>
    <row r="2680" spans="1:4" ht="43.2" x14ac:dyDescent="0.3">
      <c r="A2680" s="12" t="s">
        <v>102</v>
      </c>
      <c r="B2680" s="12" t="s">
        <v>2650</v>
      </c>
      <c r="C2680" s="12">
        <v>535</v>
      </c>
      <c r="D2680" s="12">
        <v>5</v>
      </c>
    </row>
    <row r="2681" spans="1:4" ht="43.2" x14ac:dyDescent="0.3">
      <c r="A2681" s="12" t="s">
        <v>102</v>
      </c>
      <c r="B2681" s="12" t="s">
        <v>2651</v>
      </c>
      <c r="C2681" s="12">
        <v>442</v>
      </c>
      <c r="D2681" s="12">
        <v>4</v>
      </c>
    </row>
    <row r="2682" spans="1:4" ht="43.2" x14ac:dyDescent="0.3">
      <c r="A2682" s="12" t="s">
        <v>102</v>
      </c>
      <c r="B2682" s="12" t="s">
        <v>2652</v>
      </c>
      <c r="C2682" s="12">
        <v>974</v>
      </c>
      <c r="D2682" s="12">
        <v>10</v>
      </c>
    </row>
    <row r="2683" spans="1:4" ht="43.2" x14ac:dyDescent="0.3">
      <c r="A2683" s="12" t="s">
        <v>103</v>
      </c>
      <c r="B2683" s="12" t="s">
        <v>2653</v>
      </c>
      <c r="C2683" s="12">
        <v>524</v>
      </c>
      <c r="D2683" s="12">
        <v>5</v>
      </c>
    </row>
    <row r="2684" spans="1:4" ht="28.8" x14ac:dyDescent="0.3">
      <c r="A2684" s="12" t="s">
        <v>103</v>
      </c>
      <c r="B2684" s="12" t="s">
        <v>2654</v>
      </c>
      <c r="C2684" s="12">
        <v>296</v>
      </c>
      <c r="D2684" s="12">
        <v>3</v>
      </c>
    </row>
    <row r="2685" spans="1:4" ht="28.8" x14ac:dyDescent="0.3">
      <c r="A2685" s="12" t="s">
        <v>103</v>
      </c>
      <c r="B2685" s="12" t="s">
        <v>2655</v>
      </c>
      <c r="C2685" s="12">
        <v>392</v>
      </c>
      <c r="D2685" s="12">
        <v>4</v>
      </c>
    </row>
    <row r="2686" spans="1:4" ht="28.8" x14ac:dyDescent="0.3">
      <c r="A2686" s="12" t="s">
        <v>103</v>
      </c>
      <c r="B2686" s="12" t="s">
        <v>2656</v>
      </c>
      <c r="C2686" s="12">
        <v>477</v>
      </c>
      <c r="D2686" s="12">
        <v>5</v>
      </c>
    </row>
    <row r="2687" spans="1:4" ht="43.2" x14ac:dyDescent="0.3">
      <c r="A2687" s="12" t="s">
        <v>103</v>
      </c>
      <c r="B2687" s="12" t="s">
        <v>2657</v>
      </c>
      <c r="C2687" s="12">
        <v>165</v>
      </c>
      <c r="D2687" s="12">
        <v>2</v>
      </c>
    </row>
    <row r="2688" spans="1:4" ht="43.2" x14ac:dyDescent="0.3">
      <c r="A2688" s="12" t="s">
        <v>103</v>
      </c>
      <c r="B2688" s="12" t="s">
        <v>2658</v>
      </c>
      <c r="C2688" s="12">
        <v>138</v>
      </c>
      <c r="D2688" s="12">
        <v>1</v>
      </c>
    </row>
    <row r="2689" spans="1:4" ht="28.8" x14ac:dyDescent="0.3">
      <c r="A2689" s="12" t="s">
        <v>103</v>
      </c>
      <c r="B2689" s="12" t="s">
        <v>2659</v>
      </c>
      <c r="C2689" s="12">
        <v>572</v>
      </c>
      <c r="D2689" s="12">
        <v>6</v>
      </c>
    </row>
    <row r="2690" spans="1:4" ht="28.8" x14ac:dyDescent="0.3">
      <c r="A2690" s="12" t="s">
        <v>103</v>
      </c>
      <c r="B2690" s="12" t="s">
        <v>2660</v>
      </c>
      <c r="C2690" s="12">
        <v>664</v>
      </c>
      <c r="D2690" s="12">
        <v>7</v>
      </c>
    </row>
    <row r="2691" spans="1:4" ht="43.2" x14ac:dyDescent="0.3">
      <c r="A2691" s="12" t="s">
        <v>103</v>
      </c>
      <c r="B2691" s="12" t="s">
        <v>2661</v>
      </c>
      <c r="C2691" s="12">
        <v>149</v>
      </c>
      <c r="D2691" s="12">
        <v>1</v>
      </c>
    </row>
    <row r="2692" spans="1:4" ht="43.2" x14ac:dyDescent="0.3">
      <c r="A2692" s="12" t="s">
        <v>103</v>
      </c>
      <c r="B2692" s="12" t="s">
        <v>2662</v>
      </c>
      <c r="C2692" s="12">
        <v>205</v>
      </c>
      <c r="D2692" s="12">
        <v>2</v>
      </c>
    </row>
    <row r="2693" spans="1:4" ht="28.8" x14ac:dyDescent="0.3">
      <c r="A2693" s="12" t="s">
        <v>103</v>
      </c>
      <c r="B2693" s="12" t="s">
        <v>2663</v>
      </c>
      <c r="C2693" s="12">
        <v>111</v>
      </c>
      <c r="D2693" s="12">
        <v>1</v>
      </c>
    </row>
    <row r="2694" spans="1:4" ht="28.8" x14ac:dyDescent="0.3">
      <c r="A2694" s="12" t="s">
        <v>103</v>
      </c>
      <c r="B2694" s="12" t="s">
        <v>2664</v>
      </c>
      <c r="C2694" s="12">
        <v>340</v>
      </c>
      <c r="D2694" s="12">
        <v>3</v>
      </c>
    </row>
    <row r="2695" spans="1:4" ht="28.8" x14ac:dyDescent="0.3">
      <c r="A2695" s="12" t="s">
        <v>104</v>
      </c>
      <c r="B2695" s="12" t="s">
        <v>2665</v>
      </c>
      <c r="C2695" s="12">
        <v>100</v>
      </c>
      <c r="D2695" s="12">
        <v>1</v>
      </c>
    </row>
    <row r="2696" spans="1:4" ht="43.2" x14ac:dyDescent="0.3">
      <c r="A2696" s="12" t="s">
        <v>104</v>
      </c>
      <c r="B2696" s="12" t="s">
        <v>158</v>
      </c>
      <c r="C2696" s="12">
        <v>1031</v>
      </c>
      <c r="D2696" s="12">
        <v>10</v>
      </c>
    </row>
    <row r="2697" spans="1:4" ht="28.8" x14ac:dyDescent="0.3">
      <c r="A2697" s="12" t="s">
        <v>104</v>
      </c>
      <c r="B2697" s="12" t="s">
        <v>2666</v>
      </c>
      <c r="C2697" s="12">
        <v>349</v>
      </c>
      <c r="D2697" s="12">
        <v>3</v>
      </c>
    </row>
    <row r="2698" spans="1:4" ht="43.2" x14ac:dyDescent="0.3">
      <c r="A2698" s="12" t="s">
        <v>104</v>
      </c>
      <c r="B2698" s="12" t="s">
        <v>1318</v>
      </c>
      <c r="C2698" s="12">
        <v>655</v>
      </c>
      <c r="D2698" s="12">
        <v>7</v>
      </c>
    </row>
    <row r="2699" spans="1:4" x14ac:dyDescent="0.3">
      <c r="A2699" s="12" t="s">
        <v>104</v>
      </c>
      <c r="B2699" s="12" t="s">
        <v>2667</v>
      </c>
      <c r="C2699" s="12">
        <v>135</v>
      </c>
      <c r="D2699" s="12">
        <v>1</v>
      </c>
    </row>
    <row r="2700" spans="1:4" ht="43.2" x14ac:dyDescent="0.3">
      <c r="A2700" s="12" t="s">
        <v>104</v>
      </c>
      <c r="B2700" s="12" t="s">
        <v>2668</v>
      </c>
      <c r="C2700" s="12">
        <v>129</v>
      </c>
      <c r="D2700" s="12">
        <v>1</v>
      </c>
    </row>
    <row r="2701" spans="1:4" ht="28.8" x14ac:dyDescent="0.3">
      <c r="A2701" s="12" t="s">
        <v>104</v>
      </c>
      <c r="B2701" s="12" t="s">
        <v>2669</v>
      </c>
      <c r="C2701" s="12">
        <v>389</v>
      </c>
      <c r="D2701" s="12">
        <v>4</v>
      </c>
    </row>
    <row r="2702" spans="1:4" ht="43.2" x14ac:dyDescent="0.3">
      <c r="A2702" s="12" t="s">
        <v>104</v>
      </c>
      <c r="B2702" s="12" t="s">
        <v>2670</v>
      </c>
      <c r="C2702" s="12">
        <v>134</v>
      </c>
      <c r="D2702" s="12">
        <v>1</v>
      </c>
    </row>
    <row r="2703" spans="1:4" ht="28.8" x14ac:dyDescent="0.3">
      <c r="A2703" s="12" t="s">
        <v>104</v>
      </c>
      <c r="B2703" s="12" t="s">
        <v>2671</v>
      </c>
      <c r="C2703" s="12">
        <v>277</v>
      </c>
      <c r="D2703" s="12">
        <v>3</v>
      </c>
    </row>
    <row r="2704" spans="1:4" ht="43.2" x14ac:dyDescent="0.3">
      <c r="A2704" s="12" t="s">
        <v>104</v>
      </c>
      <c r="B2704" s="12" t="s">
        <v>2672</v>
      </c>
      <c r="C2704" s="12">
        <v>67</v>
      </c>
      <c r="D2704" s="12">
        <v>1</v>
      </c>
    </row>
    <row r="2705" spans="1:4" ht="28.8" x14ac:dyDescent="0.3">
      <c r="A2705" s="12" t="s">
        <v>104</v>
      </c>
      <c r="B2705" s="12" t="s">
        <v>2673</v>
      </c>
      <c r="C2705" s="12">
        <v>665</v>
      </c>
      <c r="D2705" s="1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Check In</vt:lpstr>
      <vt:lpstr>Sheet2</vt:lpstr>
      <vt:lpstr>Dcol</vt:lpstr>
      <vt:lpstr>DColumn</vt:lpstr>
      <vt:lpstr>District</vt:lpstr>
      <vt:lpstr>votes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JessePresnell</dc:creator>
  <cp:lastModifiedBy>doug wilson</cp:lastModifiedBy>
  <cp:lastPrinted>2017-01-24T18:33:55Z</cp:lastPrinted>
  <dcterms:created xsi:type="dcterms:W3CDTF">2017-01-24T18:27:23Z</dcterms:created>
  <dcterms:modified xsi:type="dcterms:W3CDTF">2017-04-03T16:50:43Z</dcterms:modified>
</cp:coreProperties>
</file>